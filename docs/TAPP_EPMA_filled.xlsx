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324" documentId="11_3C209AD99577444EEF615C96566D1EBF266D99FA" xr6:coauthVersionLast="47" xr6:coauthVersionMax="47" xr10:uidLastSave="{41ED8E6A-55F5-4C5A-8FFF-A2266BC2973F}"/>
  <bookViews>
    <workbookView xWindow="0" yWindow="1365" windowWidth="27330" windowHeight="14610" tabRatio="500" xr2:uid="{00000000-000D-0000-FFFF-FFFF00000000}"/>
  </bookViews>
  <sheets>
    <sheet name="TAPP" sheetId="1" r:id="rId1"/>
  </sheets>
  <definedNames>
    <definedName name="_xlnm._FilterDatabase" localSheetId="0" hidden="1">TAPP!$S$1:$S$1001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<sst xmlns="http://schemas.openxmlformats.org/spreadsheetml/2006/main" count="682" uniqueCount="466">
  <si>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</si>
  <si>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</si>
  <si>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</si>
  <si>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</si>
  <si>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</si>
  <si>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</si>
  <si>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</si>
  <si>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</si>
  <si>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</si>
  <si>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</si>
  <si>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</si>
  <si>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</si>
  <si>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</si>
  <si>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</si>
  <si>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</si>
  <si>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</si>
  <si>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</si>
  <si>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</si>
  <si>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</si>
  <si>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</si>
  <si>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</si>
  <si>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</si>
  <si>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</si>
  <si>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</si>
  <si>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</si>
  <si>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</si>
  <si>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</si>
  <si>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</si>
  <si>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</si>
  <si>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</si>
  <si>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</si>
  <si>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</si>
  <si>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</si>
  <si>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</si>
  <si>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</si>
  <si>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</si>
  <si>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</si>
  <si>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</si>
  <si>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</si>
  <si>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</si>
  <si>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</si>
  <si>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</si>
  <si>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</si>
  <si>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</si>
  <si>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</si>
  <si>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</si>
  <si>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</si>
  <si>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</si>
  <si>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</si>
  <si>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</si>
  <si>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</si>
  <si>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</si>
  <si>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</si>
  <si>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</si>
  <si>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</si>
  <si>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</si>
  <si>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</si>
  <si>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</si>
  <si>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</si>
  <si>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</si>
  <si>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</si>
  <si>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</si>
  <si>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</si>
  <si>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</si>
  <si>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</si>
  <si>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</si>
  <si>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</si>
  <si>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</si>
  <si>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</si>
  <si>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</si>
  <si>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</si>
  <si>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</si>
  <si>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</si>
  <si>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</si>
  <si>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</si>
  <si>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</si>
  <si>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</si>
  <si>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</si>
  <si>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</si>
  <si>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</si>
  <si>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</si>
  <si>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</si>
  <si>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</si>
  <si>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</si>
  <si>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</si>
  <si>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</si>
  <si>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</si>
  <si>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</si>
  <si>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</si>
  <si>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</si>
  <si>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</si>
  <si>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</si>
  <si>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</si>
  <si>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</si>
  <si>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</si>
  <si>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</si>
  <si>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</si>
  <si>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</si>
  <si>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</si>
  <si>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</si>
  <si>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</si>
  <si>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</si>
  <si>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</si>
  <si>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</si>
  <si>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</si>
  <si>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</si>
  <si>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</si>
  <si>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</si>
  <si>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</si>
  <si>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</si>
  <si>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</si>
  <si>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</si>
  <si>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</si>
  <si>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</si>
  <si>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</si>
  <si>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</si>
  <si>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</si>
  <si>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</si>
  <si>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</si>
  <si>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</si>
  <si>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</si>
  <si>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</si>
  <si>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</si>
  <si>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</si>
  <si>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</si>
  <si>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</si>
  <si>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</si>
  <si>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</si>
  <si>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</si>
  <si>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</si>
  <si>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</si>
  <si>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</si>
  <si>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</si>
  <si>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</si>
  <si>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</si>
  <si>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</si>
  <si>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</si>
  <si>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</si>
  <si>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</si>
  <si>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</si>
  <si>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</si>
  <si>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</si>
  <si>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</si>
  <si>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</si>
  <si>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</si>
  <si>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</si>
  <si>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</si>
  <si>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</si>
  <si>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</si>
  <si>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</si>
  <si>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</si>
  <si>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</si>
  <si>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</si>
  <si>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</si>
  <si>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</si>
  <si>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</si>
  <si>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</si>
  <si>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</si>
  <si>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</si>
  <si>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</si>
  <si>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</si>
  <si>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</si>
  <si>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</si>
  <si>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</si>
  <si>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</si>
  <si>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</si>
  <si>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</si>
  <si>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</si>
  <si>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</si>
  <si>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</si>
  <si>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</si>
  <si>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</si>
  <si>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</si>
  <si>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</si>
  <si>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</si>
  <si>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</si>
  <si>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</si>
  <si>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</si>
  <si>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</si>
  <si>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</si>
  <si>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</si>
  <si>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</si>
  <si>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</si>
  <si>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</si>
  <si>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</si>
  <si>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</si>
  <si>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</si>
  <si>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</si>
  <si>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</si>
  <si>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</si>
  <si>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</si>
  <si>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</si>
  <si>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</si>
  <si>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</si>
  <si>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Specify what is measured, and in what format, or what kind of signal is being collected.</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</si>
  <si>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</si>
  <si>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</si>
  <si>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</si>
  <si>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</si>
  <si>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</si>
  <si>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</si>
  <si>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</si>
  <si>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</si>
  <si>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</si>
  <si>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</si>
  <si>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</si>
  <si>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</si>
  <si>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</si>
  <si>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</si>
  <si>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</si>
  <si>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</si>
  <si>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</si>
  <si>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</si>
  <si>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</si>
  <si>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</si>
  <si>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</si>
  <si>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</si>
  <si>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</si>
  <si>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</si>
  <si>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</si>
  <si>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</si>
  <si>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</si>
  <si>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</si>
  <si>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</si>
  <si>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</si>
  <si>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</si>
  <si>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</si>
  <si>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</si>
  <si>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</si>
  <si>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</si>
  <si>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</si>
  <si>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</si>
  <si>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</si>
  <si>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</si>
  <si>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</si>
  <si>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</si>
  <si>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</si>
  <si>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</si>
  <si>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</si>
  <si>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</si>
  <si>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</si>
  <si>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</si>
  <si>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</si>
  <si>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</si>
  <si>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</si>
  <si>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</si>
  <si>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</si>
  <si>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</si>
  <si>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</si>
  <si>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</si>
  <si>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</si>
  <si>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</si>
  <si>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</si>
  <si>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</si>
  <si>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</si>
  <si>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</si>
  <si>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</si>
  <si>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</si>
  <si>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</si>
  <si>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</si>
  <si>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</si>
  <si>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</si>
  <si>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</si>
  <si>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</si>
  <si>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</si>
  <si>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</si>
  <si>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</si>
  <si>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</si>
  <si>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</si>
  <si>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</si>
  <si>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</si>
  <si>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</si>
  <si>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</si>
  <si>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</si>
  <si>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</si>
  <si>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</si>
  <si>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</si>
  <si>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</si>
  <si>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</si>
  <si>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</si>
  <si>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</si>
  <si>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</si>
  <si>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</si>
  <si>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</si>
  <si>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</si>
  <si>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</si>
  <si>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</si>
  <si>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</si>
  <si>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</si>
  <si>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</si>
  <si>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</si>
  <si>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</si>
  <si>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</si>
  <si>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</si>
  <si>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</si>
  <si>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</si>
  <si>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</si>
  <si>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</si>
  <si>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</si>
  <si>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</si>
  <si>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</si>
  <si>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</si>
  <si>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</si>
  <si>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</si>
  <si>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</si>
  <si>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</si>
  <si>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</si>
  <si>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</si>
  <si>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</si>
  <si>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</si>
  <si>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</si>
  <si>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</si>
  <si>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</si>
  <si>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</si>
  <si>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</si>
  <si>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</si>
  <si>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</si>
  <si>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</si>
  <si>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</si>
  <si>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</si>
  <si>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</si>
  <si>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</si>
  <si>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</si>
  <si>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</si>
  <si>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</si>
  <si>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</si>
  <si>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</si>
  <si>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</si>
  <si>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</si>
  <si>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</si>
  <si>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</si>
  <si>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</si>
  <si>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</si>
  <si>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</si>
  <si>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</si>
  <si>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</si>
  <si>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</si>
  <si>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</si>
  <si>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</si>
  <si>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</si>
  <si>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</si>
  <si>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</si>
  <si>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</si>
  <si>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</si>
  <si>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</si>
  <si>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</si>
  <si>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</si>
  <si>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</si>
  <si>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</si>
  <si>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</si>
  <si>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</si>
  <si>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</si>
  <si>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</si>
  <si>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</si>
  <si>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</si>
  <si>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</si>
  <si>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</si>
  <si>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schema:object (readOnly false)
schema:result {readOnly true)
schema:description (readOnly ? True?)</t>
  </si>
  <si>
    <t>toolRole = acquisition</t>
  </si>
  <si>
    <t>toolRole = data reduction</t>
  </si>
  <si>
    <t>parameter: DriftCorrection</t>
  </si>
  <si>
    <t>analyteColumn : spectrometerNumber 
  datatype: positive integer
  readOnly:true</t>
  </si>
  <si>
    <t>analyteColumn : analysisOrder 
  datatype: positive integer
  readOnly:true</t>
  </si>
  <si>
    <t>method-level property: beamCurrentDefault 
  data:type PropertyValue 
  readOnly:true
analyteColumn item: beamCurrent
  datatype: PropertyValue
  readOnly: false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</si>
  <si>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</si>
  <si>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</si>
  <si>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</si>
  <si>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</si>
  <si>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</si>
  <si>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</si>
  <si>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</si>
  <si>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</si>
  <si>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</si>
  <si>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</si>
  <si>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</si>
  <si>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</si>
  <si>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</si>
  <si>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</si>
  <si>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</si>
  <si>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</si>
  <si>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</si>
  <si>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</si>
  <si>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</si>
  <si>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</si>
  <si>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</si>
  <si>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</si>
  <si>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</si>
  <si>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</si>
  <si>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</si>
  <si>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</si>
  <si>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</si>
  <si>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</si>
  <si>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</si>
  <si>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</si>
  <si>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</si>
  <si>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</si>
  <si>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</si>
  <si>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</si>
  <si>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</si>
  <si>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</si>
  <si>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</si>
  <si>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</si>
  <si>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</si>
  <si>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</si>
  <si>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</si>
  <si>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</si>
  <si>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</si>
  <si>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</si>
  <si>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</si>
  <si>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</si>
  <si>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</si>
  <si>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</si>
  <si>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</si>
  <si>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</si>
  <si>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</si>
  <si>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</si>
  <si>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</si>
  <si>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</si>
  <si>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</si>
  <si>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</si>
  <si>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</si>
  <si>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</si>
  <si>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</si>
  <si>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</si>
  <si>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</si>
  <si>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</si>
  <si>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</si>
  <si>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</si>
  <si>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</si>
  <si>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</si>
  <si>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</si>
  <si>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</si>
  <si>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</si>
  <si>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</si>
  <si>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</si>
  <si>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</si>
  <si>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</si>
  <si>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BeamRasterDimenstion. 
  dataType: schema:PropertyValue
  readOnly: False</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</si>
  <si>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</si>
  <si>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</si>
  <si>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</si>
  <si>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</si>
  <si>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</si>
  <si>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</si>
  <si>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</si>
  <si>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</si>
  <si>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</si>
  <si>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</si>
  <si>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</si>
  <si>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</si>
  <si>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</si>
  <si>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Asbestos microcline (Si Kα, Al Kα, K Kα);
 Synthetic anorthite (Ca Kα); 
Amelia albite (Na Kα); 
Synthetic fayalite (Fe Kα); 
Synthetic forsterite (Mg Kα); 
Synthetic TiO2 (Ti Kα); 
Synthetic Cr2O3 (Cr Kα); 
Synthetic Mn-olivine (Mn Kα)</t>
  </si>
  <si>
    <t>Anorthite (Si Kα, Al Kα, Ca Kα); 
Albite (Na Kα); 
Fayalite (Fe Kα); 
Forsterite (Mg Kα); 
Mn2SiO4 (Mn Kα); 
TiO2 (Ti Kα); 
Cr2O3 (Cr Kα); 
Microcline (K Kα)</t>
  </si>
  <si>
    <t>20 nA (X-ray maps/BSE); 
20 nA silicates/sulfides/oxides;
8 nA phosphates; 
4 nA carbonates</t>
  </si>
  <si>
    <t>20 nA (silicates/oxides); 
10 nA (glass/maskelynite/phosphate)</t>
  </si>
  <si>
    <t>10 nA (carbonate/Mg,Na phosphate); 
10 nA (oxides/olivine, 1 µm)</t>
  </si>
  <si>
    <t>Maskelynite, 
melt inclusion glasses, 
silica glass, 
coesite aggregates, 
mesostasis</t>
  </si>
  <si>
    <t>Match. Method-level parameter</t>
  </si>
  <si>
    <t>Match. Method-level parameter with free-text schema:description</t>
  </si>
  <si>
    <t>$MethodDefinition.schema:creator.schema:Person | schema.Organization.schema:name</t>
  </si>
  <si>
    <t>match. schema:creator is a Person or Organization; schema:name carries the author name (plus schema:identifier for ORCID).</t>
  </si>
  <si>
    <t>schema:instrument.schema.hasPart.</t>
  </si>
  <si>
    <t>parameter: wdsDeadTimeCorrection
   datatype: enum {Default constant 3µs (Cameca) | Adjusted constant (Cameca) | Default constant (JEOL) | Adjusted constant (JEOL) | High-precision (Probe for EPMA) | Logarithmic | Super-precision | Simple | Other | Unknown}
   readOnly: true</t>
  </si>
  <si>
    <t>$MethodDefinition.schema:instrument.schema:hasPart[].additionalType = 'ElectronSource'</t>
  </si>
  <si>
    <t>$MethodDefinition.schema:instrument.schema:hasPart[].additionalType = 'wdsSpectrometer'</t>
  </si>
  <si>
    <t>$MethodDefinition.schema:instrument.schema:hasPart[].additionalType = 'edsDetector'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</si>
</sst>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001"/>
  <sheetViews>
    <sheetView tabSelected="1" zoomScaleNormal="100" workbookViewId="0">
      <pane xSplit="1" ySplit="2" topLeftCell="B3" activePane="bottomRight" state="frozen"/>
      <selection pane="topRight" activeCell="B1" sqref="B1"/>
      <selection pane="bottomLeft" activeCell="A3" sqref="A3"/>
      <selection pane="bottomRight" activeCell="S22" sqref="S22"/>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7.85546875" style="4" customWidth="1"/>
    <col min="7" max="7" width="28.28515625" style="4" hidden="1" customWidth="1"/>
    <col min="8" max="8" width="28.28515625" style="167" hidden="1" customWidth="1"/>
    <col min="9" max="9" width="28.28515625" style="58" hidden="1" customWidth="1"/>
    <col min="10" max="10" width="36.85546875" style="58" hidden="1" customWidth="1"/>
    <col min="11" max="14" width="28.28515625" style="58" hidden="1" customWidth="1"/>
    <col min="15" max="15" width="33.42578125" style="58" hidden="1" customWidth="1"/>
    <col min="16" max="17" width="28.28515625" style="58" hidden="1" customWidth="1"/>
    <col min="18" max="18" width="28.28515625" style="168" customWidth="1"/>
    <col min="19" max="19" width="37.140625" style="4" customWidth="1"/>
    <col min="20" max="20" width="49.140625" style="4" customWidth="1"/>
    <col min="21" max="21" width="56.5703125" style="4" customWidth="1"/>
    <col min="22" max="16384" width="12.7109375" style="4"/>
  </cols>
  <sheetData>
    <row r="1" spans="1:21" ht="51" x14ac:dyDescent="0.2">
      <c r="A1" s="1" t="s">
        <v>0</v>
      </c>
      <c r="B1" s="33" t="s">
        <v>1</v>
      </c>
      <c r="C1" s="33" t="s">
        <v>2</v>
      </c>
      <c r="D1" s="33" t="s">
        <v>3</v>
      </c>
      <c r="E1" s="19" t="s">
        <v>4</v>
      </c>
      <c r="F1" s="2" t="s">
        <v>412</v>
      </c>
      <c r="G1" s="2"/>
      <c r="H1" s="112" t="s">
        <v>5</v>
      </c>
      <c r="I1" s="113" t="s">
        <v>6</v>
      </c>
      <c r="J1" s="113" t="s">
        <v>7</v>
      </c>
      <c r="K1" s="113" t="s">
        <v>8</v>
      </c>
      <c r="L1" s="113" t="s">
        <v>9</v>
      </c>
      <c r="M1" s="113" t="s">
        <v>10</v>
      </c>
      <c r="N1" s="113" t="s">
        <v>11</v>
      </c>
      <c r="O1" s="113" t="s">
        <v>12</v>
      </c>
      <c r="P1" s="113" t="s">
        <v>13</v>
      </c>
      <c r="Q1" s="113" t="s">
        <v>14</v>
      </c>
      <c r="R1" s="114" t="s">
        <v>15</v>
      </c>
      <c r="S1" s="3" t="s">
        <v>16</v>
      </c>
      <c r="T1" s="3" t="s">
        <v>17</v>
      </c>
      <c r="U1" s="3" t="s">
        <v>403</v>
      </c>
    </row>
    <row r="2" spans="1:21" hidden="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hidden="1" x14ac:dyDescent="0.2">
      <c r="A3" s="59" t="s">
        <v>19</v>
      </c>
      <c r="B3" s="60" t="s">
        <v>20</v>
      </c>
      <c r="C3" s="61" t="s">
        <v>21</v>
      </c>
      <c r="D3" s="60" t="s">
        <v>22</v>
      </c>
      <c r="E3" s="62" t="s">
        <v>23</v>
      </c>
      <c r="F3" s="63"/>
      <c r="G3" s="63"/>
      <c r="H3" s="117" t="s">
        <v>24</v>
      </c>
      <c r="I3" s="60" t="s">
        <v>25</v>
      </c>
      <c r="J3" s="60" t="s">
        <v>25</v>
      </c>
      <c r="K3" s="60" t="s">
        <v>24</v>
      </c>
      <c r="L3" s="60" t="s">
        <v>24</v>
      </c>
      <c r="M3" s="60" t="s">
        <v>24</v>
      </c>
      <c r="N3" s="60" t="s">
        <v>26</v>
      </c>
      <c r="O3" s="60" t="s">
        <v>27</v>
      </c>
      <c r="P3" s="60" t="s">
        <v>28</v>
      </c>
      <c r="Q3" s="60" t="s">
        <v>24</v>
      </c>
      <c r="R3" s="118">
        <f t="shared" ref="R3:R10" si="0">COUNTA(H3:Q3)/10</f>
        <v>1</v>
      </c>
      <c r="S3" s="63" t="s">
        <v>414</v>
      </c>
      <c r="T3" s="169" t="s">
        <v>404</v>
      </c>
      <c r="U3" s="63"/>
    </row>
    <row r="4" spans="1:21" s="70" customFormat="1" ht="51" hidden="1" x14ac:dyDescent="0.2">
      <c r="A4" s="65" t="s">
        <v>29</v>
      </c>
      <c r="B4" s="66" t="s">
        <v>30</v>
      </c>
      <c r="C4" s="67" t="s">
        <v>21</v>
      </c>
      <c r="D4" s="66" t="s">
        <v>31</v>
      </c>
      <c r="E4" s="68" t="s">
        <v>32</v>
      </c>
      <c r="F4" s="69"/>
      <c r="G4" s="69"/>
      <c r="H4" s="119" t="s">
        <v>33</v>
      </c>
      <c r="I4" s="66" t="s">
        <v>33</v>
      </c>
      <c r="J4" s="66" t="s">
        <v>33</v>
      </c>
      <c r="K4" s="66" t="s">
        <v>33</v>
      </c>
      <c r="L4" s="66" t="s">
        <v>33</v>
      </c>
      <c r="M4" s="66" t="s">
        <v>33</v>
      </c>
      <c r="N4" s="66" t="s">
        <v>33</v>
      </c>
      <c r="O4" s="66" t="s">
        <v>33</v>
      </c>
      <c r="P4" s="66" t="s">
        <v>33</v>
      </c>
      <c r="Q4" s="66" t="s">
        <v>33</v>
      </c>
      <c r="R4" s="120">
        <f t="shared" si="0"/>
        <v>1</v>
      </c>
      <c r="S4" s="69" t="s">
        <v>415</v>
      </c>
      <c r="T4" s="170" t="s">
        <v>405</v>
      </c>
      <c r="U4" s="69" t="s">
        <v>409</v>
      </c>
    </row>
    <row r="5" spans="1:21" s="70" customFormat="1" ht="38.25" hidden="1" x14ac:dyDescent="0.2">
      <c r="A5" s="65" t="s">
        <v>34</v>
      </c>
      <c r="B5" s="66" t="s">
        <v>35</v>
      </c>
      <c r="C5" s="67" t="s">
        <v>21</v>
      </c>
      <c r="D5" s="66" t="s">
        <v>22</v>
      </c>
      <c r="E5" s="68" t="s">
        <v>36</v>
      </c>
      <c r="F5" s="69"/>
      <c r="G5" s="69"/>
      <c r="H5" s="119" t="s">
        <v>37</v>
      </c>
      <c r="I5" s="66" t="s">
        <v>38</v>
      </c>
      <c r="J5" s="66" t="s">
        <v>39</v>
      </c>
      <c r="K5" s="66" t="s">
        <v>37</v>
      </c>
      <c r="L5" s="66" t="s">
        <v>40</v>
      </c>
      <c r="M5" s="66" t="s">
        <v>41</v>
      </c>
      <c r="N5" s="66" t="s">
        <v>42</v>
      </c>
      <c r="O5" s="66" t="s">
        <v>43</v>
      </c>
      <c r="P5" s="66" t="s">
        <v>44</v>
      </c>
      <c r="Q5" s="66" t="s">
        <v>45</v>
      </c>
      <c r="R5" s="120">
        <f t="shared" si="0"/>
        <v>1</v>
      </c>
      <c r="S5" s="69" t="s">
        <v>459</v>
      </c>
      <c r="T5" s="170" t="s">
        <v>460</v>
      </c>
      <c r="U5" s="69"/>
    </row>
    <row r="6" spans="1:21" s="70" customFormat="1" ht="57" hidden="1" x14ac:dyDescent="0.2">
      <c r="A6" s="65" t="s">
        <v>46</v>
      </c>
      <c r="B6" s="66" t="s">
        <v>47</v>
      </c>
      <c r="C6" s="67" t="s">
        <v>21</v>
      </c>
      <c r="D6" s="66" t="s">
        <v>22</v>
      </c>
      <c r="E6" s="68" t="s">
        <v>48</v>
      </c>
      <c r="F6" s="69"/>
      <c r="G6" s="69"/>
      <c r="H6" s="119" t="s">
        <v>49</v>
      </c>
      <c r="I6" s="66" t="s">
        <v>50</v>
      </c>
      <c r="J6" s="66" t="s">
        <v>51</v>
      </c>
      <c r="K6" s="66" t="s">
        <v>49</v>
      </c>
      <c r="L6" s="66" t="s">
        <v>52</v>
      </c>
      <c r="M6" s="66" t="s">
        <v>53</v>
      </c>
      <c r="N6" s="66" t="s">
        <v>54</v>
      </c>
      <c r="O6" s="66" t="s">
        <v>55</v>
      </c>
      <c r="P6" s="66" t="s">
        <v>56</v>
      </c>
      <c r="Q6" s="66" t="s">
        <v>57</v>
      </c>
      <c r="R6" s="120">
        <f t="shared" si="0"/>
        <v>1</v>
      </c>
      <c r="S6" s="69" t="s">
        <v>416</v>
      </c>
      <c r="T6" s="170" t="s">
        <v>406</v>
      </c>
      <c r="U6" s="69"/>
    </row>
    <row r="7" spans="1:21" s="70" customFormat="1" ht="28.5" hidden="1" x14ac:dyDescent="0.2">
      <c r="A7" s="71" t="s">
        <v>58</v>
      </c>
      <c r="B7" s="72" t="s">
        <v>59</v>
      </c>
      <c r="C7" s="73" t="s">
        <v>60</v>
      </c>
      <c r="D7" s="72" t="s">
        <v>61</v>
      </c>
      <c r="E7" s="74" t="s">
        <v>62</v>
      </c>
      <c r="F7" s="69"/>
      <c r="G7" s="69"/>
      <c r="H7" s="121"/>
      <c r="I7" s="72"/>
      <c r="J7" s="72"/>
      <c r="K7" s="72"/>
      <c r="L7" s="72"/>
      <c r="M7" s="72"/>
      <c r="N7" s="72"/>
      <c r="O7" s="72"/>
      <c r="P7" s="72"/>
      <c r="Q7" s="72"/>
      <c r="R7" s="122">
        <f t="shared" si="0"/>
        <v>0</v>
      </c>
      <c r="S7" s="69" t="s">
        <v>417</v>
      </c>
      <c r="T7" s="170" t="s">
        <v>426</v>
      </c>
      <c r="U7" s="69"/>
    </row>
    <row r="8" spans="1:21" s="70" customFormat="1" ht="42.75" hidden="1" x14ac:dyDescent="0.2">
      <c r="A8" s="65" t="s">
        <v>63</v>
      </c>
      <c r="B8" s="66" t="s">
        <v>64</v>
      </c>
      <c r="C8" s="67" t="s">
        <v>21</v>
      </c>
      <c r="D8" s="66" t="s">
        <v>65</v>
      </c>
      <c r="E8" s="75">
        <v>46082</v>
      </c>
      <c r="F8" s="69"/>
      <c r="G8" s="69"/>
      <c r="H8" s="123"/>
      <c r="I8" s="124"/>
      <c r="J8" s="124"/>
      <c r="K8" s="124"/>
      <c r="L8" s="124"/>
      <c r="M8" s="124"/>
      <c r="N8" s="124"/>
      <c r="O8" s="124"/>
      <c r="P8" s="124"/>
      <c r="Q8" s="124"/>
      <c r="R8" s="125">
        <f t="shared" si="0"/>
        <v>0</v>
      </c>
      <c r="S8" s="69" t="s">
        <v>418</v>
      </c>
      <c r="T8" s="170" t="s">
        <v>407</v>
      </c>
      <c r="U8" s="69"/>
    </row>
    <row r="9" spans="1:21" s="70" customFormat="1" ht="42.75" hidden="1" x14ac:dyDescent="0.2">
      <c r="A9" s="71" t="s">
        <v>66</v>
      </c>
      <c r="B9" s="72" t="s">
        <v>67</v>
      </c>
      <c r="C9" s="76" t="s">
        <v>60</v>
      </c>
      <c r="D9" s="72" t="s">
        <v>22</v>
      </c>
      <c r="E9" s="74" t="s">
        <v>68</v>
      </c>
      <c r="F9" s="69"/>
      <c r="G9" s="69"/>
      <c r="H9" s="121"/>
      <c r="I9" s="72"/>
      <c r="J9" s="72"/>
      <c r="K9" s="72"/>
      <c r="L9" s="72"/>
      <c r="M9" s="72"/>
      <c r="N9" s="72"/>
      <c r="O9" s="72"/>
      <c r="P9" s="72"/>
      <c r="Q9" s="72"/>
      <c r="R9" s="122">
        <f t="shared" si="0"/>
        <v>0</v>
      </c>
      <c r="S9" s="69" t="s">
        <v>419</v>
      </c>
      <c r="T9" s="170" t="s">
        <v>408</v>
      </c>
      <c r="U9" s="69" t="s">
        <v>410</v>
      </c>
    </row>
    <row r="10" spans="1:21" s="70" customFormat="1" ht="42.75" hidden="1" x14ac:dyDescent="0.2">
      <c r="A10" s="71" t="s">
        <v>69</v>
      </c>
      <c r="B10" s="72" t="s">
        <v>70</v>
      </c>
      <c r="C10" s="73" t="s">
        <v>60</v>
      </c>
      <c r="D10" s="72" t="s">
        <v>71</v>
      </c>
      <c r="E10" s="74" t="s">
        <v>72</v>
      </c>
      <c r="F10" s="69"/>
      <c r="G10" s="69"/>
      <c r="H10" s="121"/>
      <c r="I10" s="72"/>
      <c r="J10" s="72"/>
      <c r="K10" s="72"/>
      <c r="L10" s="72"/>
      <c r="M10" s="72"/>
      <c r="N10" s="72"/>
      <c r="O10" s="72"/>
      <c r="P10" s="72"/>
      <c r="Q10" s="72"/>
      <c r="R10" s="122">
        <f t="shared" si="0"/>
        <v>0</v>
      </c>
      <c r="S10" s="69" t="s">
        <v>420</v>
      </c>
      <c r="T10" s="170" t="s">
        <v>411</v>
      </c>
      <c r="U10" s="69"/>
    </row>
    <row r="11" spans="1:21" s="70" customFormat="1" ht="14.25" hidden="1" x14ac:dyDescent="0.2">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hidden="1" x14ac:dyDescent="0.2">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85.5" hidden="1" x14ac:dyDescent="0.2">
      <c r="A13" s="80" t="s">
        <v>74</v>
      </c>
      <c r="B13" s="81" t="s">
        <v>75</v>
      </c>
      <c r="C13" s="82" t="s">
        <v>21</v>
      </c>
      <c r="D13" s="81" t="s">
        <v>76</v>
      </c>
      <c r="E13" s="83" t="s">
        <v>77</v>
      </c>
      <c r="F13" s="69"/>
      <c r="G13" s="69"/>
      <c r="H13" s="129" t="s">
        <v>78</v>
      </c>
      <c r="I13" s="81" t="s">
        <v>456</v>
      </c>
      <c r="J13" s="81" t="s">
        <v>79</v>
      </c>
      <c r="K13" s="81" t="s">
        <v>80</v>
      </c>
      <c r="L13" s="81" t="s">
        <v>81</v>
      </c>
      <c r="M13" s="81" t="s">
        <v>82</v>
      </c>
      <c r="N13" s="81" t="s">
        <v>83</v>
      </c>
      <c r="O13" s="81" t="s">
        <v>84</v>
      </c>
      <c r="P13" s="81" t="s">
        <v>85</v>
      </c>
      <c r="Q13" s="81" t="s">
        <v>86</v>
      </c>
      <c r="R13" s="130">
        <f>COUNTA(H13:Q13)/10</f>
        <v>1</v>
      </c>
      <c r="S13" s="69" t="s">
        <v>421</v>
      </c>
      <c r="T13" s="69" t="s">
        <v>413</v>
      </c>
      <c r="U13" s="69"/>
    </row>
    <row r="14" spans="1:21" s="70" customFormat="1" ht="89.25" hidden="1" x14ac:dyDescent="0.2">
      <c r="A14" s="84" t="s">
        <v>87</v>
      </c>
      <c r="B14" s="85" t="s">
        <v>88</v>
      </c>
      <c r="C14" s="86" t="s">
        <v>60</v>
      </c>
      <c r="D14" s="85" t="s">
        <v>22</v>
      </c>
      <c r="E14" s="87" t="s">
        <v>89</v>
      </c>
      <c r="F14" s="69"/>
      <c r="G14" s="69"/>
      <c r="H14" s="131" t="s">
        <v>90</v>
      </c>
      <c r="I14" s="85" t="s">
        <v>91</v>
      </c>
      <c r="J14" s="85" t="s">
        <v>92</v>
      </c>
      <c r="K14" s="85" t="s">
        <v>93</v>
      </c>
      <c r="L14" s="85" t="s">
        <v>94</v>
      </c>
      <c r="M14" s="85" t="s">
        <v>95</v>
      </c>
      <c r="N14" s="85" t="s">
        <v>96</v>
      </c>
      <c r="O14" s="85" t="s">
        <v>97</v>
      </c>
      <c r="P14" s="85" t="s">
        <v>98</v>
      </c>
      <c r="Q14" s="85" t="s">
        <v>99</v>
      </c>
      <c r="R14" s="132">
        <f>COUNTA(H14:Q14)/10</f>
        <v>1</v>
      </c>
      <c r="S14" s="69" t="s">
        <v>422</v>
      </c>
      <c r="T14" s="69" t="s">
        <v>356</v>
      </c>
      <c r="U14" s="69" t="s">
        <v>357</v>
      </c>
    </row>
    <row r="15" spans="1:21" s="70" customFormat="1" ht="14.25" hidden="1" x14ac:dyDescent="0.2">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hidden="1" x14ac:dyDescent="0.2">
      <c r="A16" s="178" t="s">
        <v>100</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8.25" x14ac:dyDescent="0.2">
      <c r="A17" s="88" t="s">
        <v>101</v>
      </c>
      <c r="B17" s="89" t="s">
        <v>102</v>
      </c>
      <c r="C17" s="90" t="s">
        <v>21</v>
      </c>
      <c r="D17" s="89" t="s">
        <v>31</v>
      </c>
      <c r="E17" s="91" t="s">
        <v>103</v>
      </c>
      <c r="F17" s="69"/>
      <c r="G17" s="69"/>
      <c r="H17" s="133" t="s">
        <v>104</v>
      </c>
      <c r="I17" s="89" t="s">
        <v>104</v>
      </c>
      <c r="J17" s="89" t="s">
        <v>105</v>
      </c>
      <c r="K17" s="89" t="s">
        <v>104</v>
      </c>
      <c r="L17" s="89" t="s">
        <v>106</v>
      </c>
      <c r="M17" s="89" t="s">
        <v>104</v>
      </c>
      <c r="N17" s="89" t="s">
        <v>104</v>
      </c>
      <c r="O17" s="89" t="s">
        <v>105</v>
      </c>
      <c r="P17" s="89" t="s">
        <v>107</v>
      </c>
      <c r="Q17" s="89" t="s">
        <v>104</v>
      </c>
      <c r="R17" s="134">
        <f t="shared" ref="R17:R23" si="1">COUNTA(H17:Q17)/10</f>
        <v>1</v>
      </c>
      <c r="S17" s="69" t="s">
        <v>423</v>
      </c>
      <c r="T17" s="170" t="s">
        <v>424</v>
      </c>
      <c r="U17" s="69"/>
    </row>
    <row r="18" spans="1:21" s="70" customFormat="1" ht="71.25" x14ac:dyDescent="0.2">
      <c r="A18" s="88" t="s">
        <v>108</v>
      </c>
      <c r="B18" s="89" t="s">
        <v>109</v>
      </c>
      <c r="C18" s="90" t="s">
        <v>21</v>
      </c>
      <c r="D18" s="89" t="s">
        <v>31</v>
      </c>
      <c r="E18" s="91" t="s">
        <v>110</v>
      </c>
      <c r="F18" s="69"/>
      <c r="G18" s="69"/>
      <c r="H18" s="133" t="s">
        <v>111</v>
      </c>
      <c r="I18" s="89" t="s">
        <v>112</v>
      </c>
      <c r="J18" s="89" t="s">
        <v>113</v>
      </c>
      <c r="K18" s="89" t="s">
        <v>111</v>
      </c>
      <c r="L18" s="89" t="s">
        <v>114</v>
      </c>
      <c r="M18" s="89" t="s">
        <v>111</v>
      </c>
      <c r="N18" s="89" t="s">
        <v>115</v>
      </c>
      <c r="O18" s="89" t="s">
        <v>116</v>
      </c>
      <c r="P18" s="89" t="s">
        <v>117</v>
      </c>
      <c r="Q18" s="89" t="s">
        <v>118</v>
      </c>
      <c r="R18" s="134">
        <f t="shared" si="1"/>
        <v>1</v>
      </c>
      <c r="S18" s="69" t="s">
        <v>429</v>
      </c>
      <c r="T18" s="170" t="s">
        <v>425</v>
      </c>
      <c r="U18" s="69"/>
    </row>
    <row r="19" spans="1:21" s="70" customFormat="1" ht="51" x14ac:dyDescent="0.2">
      <c r="A19" s="88" t="s">
        <v>119</v>
      </c>
      <c r="B19" s="89" t="s">
        <v>120</v>
      </c>
      <c r="C19" s="90" t="s">
        <v>21</v>
      </c>
      <c r="D19" s="89" t="s">
        <v>31</v>
      </c>
      <c r="E19" s="91" t="s">
        <v>121</v>
      </c>
      <c r="F19" s="69"/>
      <c r="G19" s="69"/>
      <c r="H19" s="133"/>
      <c r="I19" s="89"/>
      <c r="J19" s="89"/>
      <c r="K19" s="89"/>
      <c r="L19" s="89"/>
      <c r="M19" s="89"/>
      <c r="N19" s="89" t="s">
        <v>122</v>
      </c>
      <c r="O19" s="89"/>
      <c r="P19" s="89" t="s">
        <v>122</v>
      </c>
      <c r="Q19" s="89"/>
      <c r="R19" s="134">
        <f t="shared" si="1"/>
        <v>0.2</v>
      </c>
      <c r="S19" s="69" t="s">
        <v>463</v>
      </c>
      <c r="T19" s="69" t="s">
        <v>427</v>
      </c>
      <c r="U19" s="69" t="s">
        <v>461</v>
      </c>
    </row>
    <row r="20" spans="1:21" s="70" customFormat="1" ht="57" hidden="1" x14ac:dyDescent="0.2">
      <c r="A20" s="88" t="s">
        <v>123</v>
      </c>
      <c r="B20" s="89" t="s">
        <v>124</v>
      </c>
      <c r="C20" s="90" t="s">
        <v>21</v>
      </c>
      <c r="D20" s="89" t="s">
        <v>22</v>
      </c>
      <c r="E20" s="91" t="s">
        <v>125</v>
      </c>
      <c r="F20" s="69"/>
      <c r="G20" s="69"/>
      <c r="H20" s="133" t="s">
        <v>126</v>
      </c>
      <c r="I20" s="89"/>
      <c r="J20" s="89"/>
      <c r="K20" s="89" t="s">
        <v>126</v>
      </c>
      <c r="L20" s="89"/>
      <c r="M20" s="89" t="s">
        <v>126</v>
      </c>
      <c r="N20" s="89"/>
      <c r="O20" s="89" t="s">
        <v>127</v>
      </c>
      <c r="P20" s="89"/>
      <c r="Q20" s="89"/>
      <c r="R20" s="134">
        <f t="shared" si="1"/>
        <v>0.4</v>
      </c>
      <c r="S20" s="69" t="s">
        <v>430</v>
      </c>
      <c r="T20" s="170" t="s">
        <v>428</v>
      </c>
      <c r="U20" s="69" t="s">
        <v>358</v>
      </c>
    </row>
    <row r="21" spans="1:21" s="70" customFormat="1" ht="57" hidden="1" x14ac:dyDescent="0.2">
      <c r="A21" s="88" t="s">
        <v>128</v>
      </c>
      <c r="B21" s="89" t="s">
        <v>129</v>
      </c>
      <c r="C21" s="90" t="s">
        <v>21</v>
      </c>
      <c r="D21" s="89" t="s">
        <v>130</v>
      </c>
      <c r="E21" s="91" t="s">
        <v>131</v>
      </c>
      <c r="F21" s="69"/>
      <c r="G21" s="69"/>
      <c r="H21" s="133" t="s">
        <v>132</v>
      </c>
      <c r="I21" s="89"/>
      <c r="J21" s="89"/>
      <c r="K21" s="89" t="s">
        <v>132</v>
      </c>
      <c r="L21" s="89"/>
      <c r="M21" s="89" t="s">
        <v>133</v>
      </c>
      <c r="N21" s="89"/>
      <c r="O21" s="89" t="s">
        <v>134</v>
      </c>
      <c r="P21" s="89" t="s">
        <v>135</v>
      </c>
      <c r="Q21" s="89" t="s">
        <v>135</v>
      </c>
      <c r="R21" s="134">
        <f t="shared" si="1"/>
        <v>0.6</v>
      </c>
      <c r="S21" s="69" t="s">
        <v>430</v>
      </c>
      <c r="T21" s="170" t="s">
        <v>434</v>
      </c>
      <c r="U21" s="69" t="s">
        <v>359</v>
      </c>
    </row>
    <row r="22" spans="1:21" s="70" customFormat="1" ht="57" x14ac:dyDescent="0.2">
      <c r="A22" s="92" t="s">
        <v>136</v>
      </c>
      <c r="B22" s="93" t="s">
        <v>137</v>
      </c>
      <c r="C22" s="94" t="s">
        <v>60</v>
      </c>
      <c r="D22" s="93" t="s">
        <v>22</v>
      </c>
      <c r="E22" s="95" t="s">
        <v>138</v>
      </c>
      <c r="F22" s="69"/>
      <c r="G22" s="69"/>
      <c r="H22" s="135"/>
      <c r="I22" s="93"/>
      <c r="J22" s="93"/>
      <c r="K22" s="93"/>
      <c r="L22" s="93"/>
      <c r="M22" s="93" t="s">
        <v>139</v>
      </c>
      <c r="N22" s="93"/>
      <c r="O22" s="93"/>
      <c r="P22" s="93"/>
      <c r="Q22" s="93"/>
      <c r="R22" s="136">
        <f t="shared" si="1"/>
        <v>0.1</v>
      </c>
      <c r="S22" s="69" t="s">
        <v>464</v>
      </c>
      <c r="T22" s="69" t="s">
        <v>140</v>
      </c>
      <c r="U22" s="69" t="s">
        <v>432</v>
      </c>
    </row>
    <row r="23" spans="1:21" s="70" customFormat="1" ht="57" x14ac:dyDescent="0.2">
      <c r="A23" s="92" t="s">
        <v>141</v>
      </c>
      <c r="B23" s="93" t="s">
        <v>142</v>
      </c>
      <c r="C23" s="94" t="s">
        <v>60</v>
      </c>
      <c r="D23" s="93" t="s">
        <v>22</v>
      </c>
      <c r="E23" s="95" t="s">
        <v>143</v>
      </c>
      <c r="F23" s="69"/>
      <c r="G23" s="69"/>
      <c r="H23" s="135"/>
      <c r="I23" s="93"/>
      <c r="J23" s="93"/>
      <c r="K23" s="93"/>
      <c r="L23" s="93"/>
      <c r="M23" s="93" t="s">
        <v>144</v>
      </c>
      <c r="N23" s="93"/>
      <c r="O23" s="93"/>
      <c r="P23" s="93"/>
      <c r="Q23" s="93"/>
      <c r="R23" s="136">
        <f t="shared" si="1"/>
        <v>0.1</v>
      </c>
      <c r="S23" s="69" t="s">
        <v>465</v>
      </c>
      <c r="T23" s="69" t="s">
        <v>145</v>
      </c>
      <c r="U23" s="69" t="s">
        <v>431</v>
      </c>
    </row>
    <row r="24" spans="1:21" s="70" customFormat="1" ht="14.25" hidden="1" x14ac:dyDescent="0.2">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hidden="1" x14ac:dyDescent="0.2">
      <c r="A25" s="179" t="s">
        <v>146</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1.25" hidden="1" x14ac:dyDescent="0.2">
      <c r="A26" s="96" t="s">
        <v>147</v>
      </c>
      <c r="B26" s="97" t="s">
        <v>148</v>
      </c>
      <c r="C26" s="98" t="s">
        <v>21</v>
      </c>
      <c r="D26" s="97" t="s">
        <v>31</v>
      </c>
      <c r="E26" s="99" t="s">
        <v>149</v>
      </c>
      <c r="F26" s="69"/>
      <c r="G26" s="69"/>
      <c r="H26" s="137" t="s">
        <v>150</v>
      </c>
      <c r="I26" s="97" t="s">
        <v>150</v>
      </c>
      <c r="J26" s="97" t="s">
        <v>151</v>
      </c>
      <c r="K26" s="97" t="s">
        <v>150</v>
      </c>
      <c r="L26" s="97" t="s">
        <v>150</v>
      </c>
      <c r="M26" s="97" t="s">
        <v>150</v>
      </c>
      <c r="N26" s="97" t="s">
        <v>152</v>
      </c>
      <c r="O26" s="97" t="s">
        <v>153</v>
      </c>
      <c r="P26" s="97" t="s">
        <v>154</v>
      </c>
      <c r="Q26" s="97" t="s">
        <v>155</v>
      </c>
      <c r="R26" s="138">
        <f t="shared" ref="R26:R43" si="2">COUNTA(H26:Q26)/10</f>
        <v>1</v>
      </c>
      <c r="S26" s="69" t="s">
        <v>441</v>
      </c>
      <c r="T26" s="170" t="s">
        <v>444</v>
      </c>
      <c r="U26" s="171" t="s">
        <v>433</v>
      </c>
    </row>
    <row r="27" spans="1:21" s="70" customFormat="1" ht="76.5" hidden="1" x14ac:dyDescent="0.2">
      <c r="A27" s="96" t="s">
        <v>157</v>
      </c>
      <c r="B27" s="97" t="s">
        <v>158</v>
      </c>
      <c r="C27" s="100" t="s">
        <v>21</v>
      </c>
      <c r="D27" s="97" t="s">
        <v>159</v>
      </c>
      <c r="E27" s="99" t="s">
        <v>160</v>
      </c>
      <c r="F27" s="69"/>
      <c r="G27" s="69"/>
      <c r="H27" s="137" t="s">
        <v>161</v>
      </c>
      <c r="I27" s="97" t="s">
        <v>161</v>
      </c>
      <c r="J27" s="97" t="s">
        <v>161</v>
      </c>
      <c r="K27" s="97" t="s">
        <v>161</v>
      </c>
      <c r="L27" s="97" t="s">
        <v>162</v>
      </c>
      <c r="M27" s="97" t="s">
        <v>161</v>
      </c>
      <c r="N27" s="97" t="s">
        <v>161</v>
      </c>
      <c r="O27" s="97" t="s">
        <v>161</v>
      </c>
      <c r="P27" s="97" t="s">
        <v>161</v>
      </c>
      <c r="Q27" s="97" t="s">
        <v>161</v>
      </c>
      <c r="R27" s="138">
        <f t="shared" si="2"/>
        <v>1</v>
      </c>
      <c r="S27" s="101" t="s">
        <v>442</v>
      </c>
      <c r="T27" s="170" t="s">
        <v>435</v>
      </c>
      <c r="U27" s="171" t="s">
        <v>448</v>
      </c>
    </row>
    <row r="28" spans="1:21" s="70" customFormat="1" ht="76.5" hidden="1" x14ac:dyDescent="0.2">
      <c r="A28" s="96" t="s">
        <v>164</v>
      </c>
      <c r="B28" s="97" t="s">
        <v>165</v>
      </c>
      <c r="C28" s="100" t="s">
        <v>21</v>
      </c>
      <c r="D28" s="97" t="s">
        <v>166</v>
      </c>
      <c r="E28" s="99" t="s">
        <v>167</v>
      </c>
      <c r="F28" s="69"/>
      <c r="G28" s="69"/>
      <c r="H28" s="137" t="s">
        <v>168</v>
      </c>
      <c r="I28" s="97"/>
      <c r="J28" s="97" t="s">
        <v>169</v>
      </c>
      <c r="K28" s="97" t="s">
        <v>168</v>
      </c>
      <c r="L28" s="97" t="s">
        <v>170</v>
      </c>
      <c r="M28" s="97" t="s">
        <v>168</v>
      </c>
      <c r="N28" s="97" t="s">
        <v>171</v>
      </c>
      <c r="O28" s="97" t="s">
        <v>172</v>
      </c>
      <c r="P28" s="97" t="s">
        <v>173</v>
      </c>
      <c r="Q28" s="97" t="s">
        <v>174</v>
      </c>
      <c r="R28" s="138">
        <f t="shared" si="2"/>
        <v>0.9</v>
      </c>
      <c r="S28" s="101" t="s">
        <v>443</v>
      </c>
      <c r="T28" s="170" t="s">
        <v>436</v>
      </c>
      <c r="U28" s="171" t="s">
        <v>449</v>
      </c>
    </row>
    <row r="29" spans="1:21" s="70" customFormat="1" ht="51" hidden="1" x14ac:dyDescent="0.2">
      <c r="A29" s="102" t="s">
        <v>175</v>
      </c>
      <c r="B29" s="103" t="s">
        <v>176</v>
      </c>
      <c r="C29" s="104" t="s">
        <v>60</v>
      </c>
      <c r="D29" s="103" t="s">
        <v>177</v>
      </c>
      <c r="E29" s="105" t="s">
        <v>178</v>
      </c>
      <c r="F29" s="69"/>
      <c r="G29" s="69"/>
      <c r="H29" s="139"/>
      <c r="I29" s="103"/>
      <c r="J29" s="103"/>
      <c r="K29" s="103"/>
      <c r="L29" s="103"/>
      <c r="M29" s="103"/>
      <c r="N29" s="103"/>
      <c r="O29" s="103"/>
      <c r="P29" s="103"/>
      <c r="Q29" s="103"/>
      <c r="R29" s="140">
        <f t="shared" si="2"/>
        <v>0</v>
      </c>
      <c r="S29" s="69" t="s">
        <v>156</v>
      </c>
      <c r="T29" s="69" t="s">
        <v>179</v>
      </c>
      <c r="U29" s="69" t="s">
        <v>437</v>
      </c>
    </row>
    <row r="30" spans="1:21" s="70" customFormat="1" ht="85.5" hidden="1" x14ac:dyDescent="0.2">
      <c r="A30" s="102" t="s">
        <v>180</v>
      </c>
      <c r="B30" s="103" t="s">
        <v>181</v>
      </c>
      <c r="C30" s="104" t="s">
        <v>60</v>
      </c>
      <c r="D30" s="103" t="s">
        <v>22</v>
      </c>
      <c r="E30" s="105" t="s">
        <v>182</v>
      </c>
      <c r="F30" s="69"/>
      <c r="G30" s="69"/>
      <c r="H30" s="139"/>
      <c r="I30" s="103"/>
      <c r="J30" s="103"/>
      <c r="K30" s="103"/>
      <c r="L30" s="103"/>
      <c r="M30" s="103" t="s">
        <v>183</v>
      </c>
      <c r="N30" s="103" t="s">
        <v>184</v>
      </c>
      <c r="O30" s="103"/>
      <c r="P30" s="103"/>
      <c r="Q30" s="103"/>
      <c r="R30" s="140">
        <f t="shared" si="2"/>
        <v>0.2</v>
      </c>
      <c r="S30" s="69" t="s">
        <v>185</v>
      </c>
      <c r="T30" s="69" t="s">
        <v>186</v>
      </c>
      <c r="U30" s="69" t="s">
        <v>438</v>
      </c>
    </row>
    <row r="31" spans="1:21" s="111" customFormat="1" ht="99.75" hidden="1" x14ac:dyDescent="0.2">
      <c r="A31" s="106" t="s">
        <v>187</v>
      </c>
      <c r="B31" s="107" t="s">
        <v>188</v>
      </c>
      <c r="C31" s="108" t="s">
        <v>60</v>
      </c>
      <c r="D31" s="107" t="s">
        <v>22</v>
      </c>
      <c r="E31" s="109" t="s">
        <v>189</v>
      </c>
      <c r="F31" s="110"/>
      <c r="G31" s="110"/>
      <c r="H31" s="141"/>
      <c r="I31" s="107"/>
      <c r="J31" s="107"/>
      <c r="K31" s="107"/>
      <c r="L31" s="107"/>
      <c r="M31" s="107"/>
      <c r="N31" s="107"/>
      <c r="O31" s="107"/>
      <c r="P31" s="107"/>
      <c r="Q31" s="107"/>
      <c r="R31" s="142">
        <f t="shared" si="2"/>
        <v>0</v>
      </c>
      <c r="S31" s="110" t="s">
        <v>185</v>
      </c>
      <c r="T31" s="110" t="s">
        <v>190</v>
      </c>
      <c r="U31" s="110" t="s">
        <v>360</v>
      </c>
    </row>
    <row r="32" spans="1:21" ht="234" hidden="1" customHeight="1" thickBot="1" x14ac:dyDescent="0.25">
      <c r="A32" s="12" t="s">
        <v>191</v>
      </c>
      <c r="B32" s="36" t="s">
        <v>192</v>
      </c>
      <c r="C32" s="37" t="s">
        <v>21</v>
      </c>
      <c r="D32" s="36" t="s">
        <v>31</v>
      </c>
      <c r="E32" s="21" t="s">
        <v>193</v>
      </c>
      <c r="F32" s="3"/>
      <c r="G32" s="3" t="s">
        <v>194</v>
      </c>
      <c r="H32" s="143"/>
      <c r="I32" s="36"/>
      <c r="J32" s="36"/>
      <c r="K32" s="36"/>
      <c r="L32" s="36"/>
      <c r="M32" s="36"/>
      <c r="N32" s="36"/>
      <c r="O32" s="36"/>
      <c r="P32" s="36"/>
      <c r="Q32" s="36"/>
      <c r="R32" s="144">
        <f t="shared" si="2"/>
        <v>0</v>
      </c>
      <c r="S32" s="3" t="s">
        <v>195</v>
      </c>
      <c r="T32" s="3" t="s">
        <v>445</v>
      </c>
      <c r="U32" s="3" t="s">
        <v>450</v>
      </c>
    </row>
    <row r="33" spans="1:21" ht="77.25" hidden="1" thickBot="1" x14ac:dyDescent="0.25">
      <c r="A33" s="12" t="s">
        <v>196</v>
      </c>
      <c r="B33" s="36" t="s">
        <v>197</v>
      </c>
      <c r="C33" s="38" t="s">
        <v>21</v>
      </c>
      <c r="D33" s="36" t="s">
        <v>198</v>
      </c>
      <c r="E33" s="21" t="s">
        <v>199</v>
      </c>
      <c r="F33" s="3" t="s">
        <v>446</v>
      </c>
      <c r="G33" s="3"/>
      <c r="H33" s="143" t="s">
        <v>200</v>
      </c>
      <c r="I33" s="36" t="s">
        <v>201</v>
      </c>
      <c r="J33" s="36" t="s">
        <v>454</v>
      </c>
      <c r="K33" s="36" t="s">
        <v>200</v>
      </c>
      <c r="L33" s="36" t="s">
        <v>162</v>
      </c>
      <c r="M33" s="36" t="s">
        <v>202</v>
      </c>
      <c r="N33" s="36" t="s">
        <v>203</v>
      </c>
      <c r="O33" s="36" t="s">
        <v>453</v>
      </c>
      <c r="P33" s="36" t="s">
        <v>455</v>
      </c>
      <c r="Q33" s="36" t="s">
        <v>203</v>
      </c>
      <c r="R33" s="144">
        <f t="shared" si="2"/>
        <v>1</v>
      </c>
      <c r="S33" s="11" t="s">
        <v>163</v>
      </c>
      <c r="T33" s="3" t="s">
        <v>447</v>
      </c>
      <c r="U33" s="3" t="s">
        <v>363</v>
      </c>
    </row>
    <row r="34" spans="1:21" ht="39" hidden="1" thickBot="1" x14ac:dyDescent="0.25">
      <c r="A34" s="12" t="s">
        <v>204</v>
      </c>
      <c r="B34" s="36" t="s">
        <v>205</v>
      </c>
      <c r="C34" s="38" t="s">
        <v>21</v>
      </c>
      <c r="D34" s="36" t="s">
        <v>31</v>
      </c>
      <c r="E34" s="21" t="s">
        <v>206</v>
      </c>
      <c r="F34" s="3" t="s">
        <v>446</v>
      </c>
      <c r="G34" s="3"/>
      <c r="H34" s="143" t="s">
        <v>207</v>
      </c>
      <c r="I34" s="36" t="s">
        <v>207</v>
      </c>
      <c r="J34" s="36" t="s">
        <v>207</v>
      </c>
      <c r="K34" s="36" t="s">
        <v>207</v>
      </c>
      <c r="L34" s="36" t="s">
        <v>207</v>
      </c>
      <c r="M34" s="36" t="s">
        <v>207</v>
      </c>
      <c r="N34" s="36" t="s">
        <v>207</v>
      </c>
      <c r="O34" s="36" t="s">
        <v>207</v>
      </c>
      <c r="P34" s="36" t="s">
        <v>207</v>
      </c>
      <c r="Q34" s="36" t="s">
        <v>207</v>
      </c>
      <c r="R34" s="144">
        <f t="shared" si="2"/>
        <v>1</v>
      </c>
      <c r="S34" s="11" t="s">
        <v>208</v>
      </c>
      <c r="T34" s="3" t="s">
        <v>209</v>
      </c>
      <c r="U34" s="3" t="s">
        <v>364</v>
      </c>
    </row>
    <row r="35" spans="1:21" ht="39" hidden="1" thickBot="1" x14ac:dyDescent="0.25">
      <c r="A35" s="13" t="s">
        <v>210</v>
      </c>
      <c r="B35" s="39" t="s">
        <v>211</v>
      </c>
      <c r="C35" s="40" t="s">
        <v>60</v>
      </c>
      <c r="D35" s="39" t="s">
        <v>212</v>
      </c>
      <c r="E35" s="22" t="s">
        <v>213</v>
      </c>
      <c r="F35" s="3" t="s">
        <v>446</v>
      </c>
      <c r="G35" s="3"/>
      <c r="H35" s="145"/>
      <c r="I35" s="39"/>
      <c r="J35" s="39"/>
      <c r="K35" s="39"/>
      <c r="L35" s="39"/>
      <c r="M35" s="39"/>
      <c r="N35" s="39"/>
      <c r="O35" s="39"/>
      <c r="P35" s="39"/>
      <c r="Q35" s="39"/>
      <c r="R35" s="146">
        <f t="shared" si="2"/>
        <v>0</v>
      </c>
      <c r="S35" s="3" t="s">
        <v>208</v>
      </c>
      <c r="T35" s="3" t="s">
        <v>214</v>
      </c>
      <c r="U35" s="3" t="s">
        <v>361</v>
      </c>
    </row>
    <row r="36" spans="1:21" ht="39" hidden="1" thickBot="1" x14ac:dyDescent="0.25">
      <c r="A36" s="13" t="s">
        <v>215</v>
      </c>
      <c r="B36" s="39" t="s">
        <v>216</v>
      </c>
      <c r="C36" s="40" t="s">
        <v>60</v>
      </c>
      <c r="D36" s="39" t="s">
        <v>212</v>
      </c>
      <c r="E36" s="22" t="s">
        <v>213</v>
      </c>
      <c r="F36" s="3" t="s">
        <v>446</v>
      </c>
      <c r="G36" s="3"/>
      <c r="H36" s="145"/>
      <c r="I36" s="39"/>
      <c r="J36" s="39"/>
      <c r="K36" s="39"/>
      <c r="L36" s="39"/>
      <c r="M36" s="39"/>
      <c r="N36" s="39"/>
      <c r="O36" s="39"/>
      <c r="P36" s="39"/>
      <c r="Q36" s="39"/>
      <c r="R36" s="146">
        <f t="shared" si="2"/>
        <v>0</v>
      </c>
      <c r="S36" s="3" t="s">
        <v>208</v>
      </c>
      <c r="T36" s="3" t="s">
        <v>217</v>
      </c>
      <c r="U36" s="3" t="s">
        <v>362</v>
      </c>
    </row>
    <row r="37" spans="1:21" ht="86.25" hidden="1" thickBot="1" x14ac:dyDescent="0.25">
      <c r="A37" s="12" t="s">
        <v>218</v>
      </c>
      <c r="B37" s="36" t="s">
        <v>219</v>
      </c>
      <c r="C37" s="37" t="s">
        <v>21</v>
      </c>
      <c r="D37" s="36" t="s">
        <v>31</v>
      </c>
      <c r="E37" s="21" t="s">
        <v>220</v>
      </c>
      <c r="F37" s="3" t="s">
        <v>446</v>
      </c>
      <c r="G37" s="3"/>
      <c r="H37" s="143"/>
      <c r="I37" s="36"/>
      <c r="J37" s="36"/>
      <c r="K37" s="36"/>
      <c r="L37" s="36"/>
      <c r="M37" s="36" t="s">
        <v>221</v>
      </c>
      <c r="N37" s="36"/>
      <c r="O37" s="36"/>
      <c r="P37" s="36"/>
      <c r="Q37" s="36"/>
      <c r="R37" s="144">
        <f t="shared" si="2"/>
        <v>0.1</v>
      </c>
      <c r="S37" s="3" t="s">
        <v>208</v>
      </c>
      <c r="T37" s="3" t="s">
        <v>222</v>
      </c>
      <c r="U37" s="3" t="s">
        <v>365</v>
      </c>
    </row>
    <row r="38" spans="1:21" ht="57.75" hidden="1" thickBot="1" x14ac:dyDescent="0.25">
      <c r="A38" s="13" t="s">
        <v>223</v>
      </c>
      <c r="B38" s="39" t="s">
        <v>224</v>
      </c>
      <c r="C38" s="40" t="s">
        <v>60</v>
      </c>
      <c r="D38" s="39" t="s">
        <v>31</v>
      </c>
      <c r="E38" s="22" t="s">
        <v>225</v>
      </c>
      <c r="F38" s="3" t="s">
        <v>446</v>
      </c>
      <c r="G38" s="3"/>
      <c r="H38" s="145"/>
      <c r="I38" s="39"/>
      <c r="J38" s="39"/>
      <c r="K38" s="39"/>
      <c r="L38" s="39"/>
      <c r="M38" s="39"/>
      <c r="N38" s="39"/>
      <c r="O38" s="39"/>
      <c r="P38" s="39"/>
      <c r="Q38" s="39"/>
      <c r="R38" s="146">
        <f t="shared" si="2"/>
        <v>0</v>
      </c>
      <c r="S38" s="3" t="s">
        <v>208</v>
      </c>
      <c r="T38" s="3" t="s">
        <v>226</v>
      </c>
      <c r="U38" s="3" t="s">
        <v>366</v>
      </c>
    </row>
    <row r="39" spans="1:21" ht="39" hidden="1" thickBot="1" x14ac:dyDescent="0.25">
      <c r="A39" s="13" t="s">
        <v>227</v>
      </c>
      <c r="B39" s="39" t="s">
        <v>228</v>
      </c>
      <c r="C39" s="40" t="s">
        <v>60</v>
      </c>
      <c r="D39" s="39" t="s">
        <v>31</v>
      </c>
      <c r="E39" s="22" t="s">
        <v>229</v>
      </c>
      <c r="F39" s="3" t="s">
        <v>446</v>
      </c>
      <c r="G39" s="3"/>
      <c r="H39" s="145"/>
      <c r="I39" s="39"/>
      <c r="J39" s="39"/>
      <c r="K39" s="39"/>
      <c r="L39" s="39"/>
      <c r="M39" s="39"/>
      <c r="N39" s="39"/>
      <c r="O39" s="39"/>
      <c r="P39" s="39"/>
      <c r="Q39" s="39"/>
      <c r="R39" s="146">
        <f t="shared" si="2"/>
        <v>0</v>
      </c>
      <c r="S39" s="3" t="s">
        <v>208</v>
      </c>
      <c r="T39" s="3" t="s">
        <v>230</v>
      </c>
      <c r="U39" s="3" t="s">
        <v>367</v>
      </c>
    </row>
    <row r="40" spans="1:21" ht="129" hidden="1" thickBot="1" x14ac:dyDescent="0.25">
      <c r="A40" s="12" t="s">
        <v>231</v>
      </c>
      <c r="B40" s="36" t="s">
        <v>232</v>
      </c>
      <c r="C40" s="38" t="s">
        <v>21</v>
      </c>
      <c r="D40" s="36" t="s">
        <v>31</v>
      </c>
      <c r="E40" s="21" t="s">
        <v>233</v>
      </c>
      <c r="F40" s="3" t="s">
        <v>446</v>
      </c>
      <c r="G40" s="3"/>
      <c r="H40" s="143" t="s">
        <v>452</v>
      </c>
      <c r="I40" s="36"/>
      <c r="J40" s="36"/>
      <c r="K40" s="36" t="s">
        <v>451</v>
      </c>
      <c r="L40" s="36"/>
      <c r="M40" s="36"/>
      <c r="N40" s="36"/>
      <c r="O40" s="36"/>
      <c r="P40" s="36"/>
      <c r="Q40" s="36"/>
      <c r="R40" s="144">
        <f t="shared" si="2"/>
        <v>0.2</v>
      </c>
      <c r="S40" s="11" t="s">
        <v>208</v>
      </c>
      <c r="T40" s="3" t="s">
        <v>236</v>
      </c>
      <c r="U40" s="3" t="s">
        <v>368</v>
      </c>
    </row>
    <row r="41" spans="1:21" ht="57.75" hidden="1" thickBot="1" x14ac:dyDescent="0.25">
      <c r="A41" s="12" t="s">
        <v>237</v>
      </c>
      <c r="B41" s="36" t="s">
        <v>238</v>
      </c>
      <c r="C41" s="38" t="s">
        <v>21</v>
      </c>
      <c r="D41" s="36" t="s">
        <v>239</v>
      </c>
      <c r="E41" s="21" t="s">
        <v>240</v>
      </c>
      <c r="F41" s="3" t="s">
        <v>446</v>
      </c>
      <c r="G41" s="3"/>
      <c r="H41" s="143" t="s">
        <v>162</v>
      </c>
      <c r="I41" s="36"/>
      <c r="J41" s="36"/>
      <c r="K41" s="36" t="s">
        <v>162</v>
      </c>
      <c r="L41" s="36" t="s">
        <v>241</v>
      </c>
      <c r="M41" s="36"/>
      <c r="N41" s="36" t="s">
        <v>242</v>
      </c>
      <c r="O41" s="36" t="s">
        <v>243</v>
      </c>
      <c r="P41" s="36"/>
      <c r="Q41" s="36"/>
      <c r="R41" s="144">
        <f t="shared" si="2"/>
        <v>0.5</v>
      </c>
      <c r="S41" s="11" t="s">
        <v>244</v>
      </c>
      <c r="T41" s="3" t="s">
        <v>245</v>
      </c>
      <c r="U41" s="3" t="s">
        <v>369</v>
      </c>
    </row>
    <row r="42" spans="1:21" ht="57.75" hidden="1" thickBot="1" x14ac:dyDescent="0.25">
      <c r="A42" s="12" t="s">
        <v>246</v>
      </c>
      <c r="B42" s="36" t="s">
        <v>247</v>
      </c>
      <c r="C42" s="38" t="s">
        <v>21</v>
      </c>
      <c r="D42" s="36" t="s">
        <v>239</v>
      </c>
      <c r="E42" s="21" t="s">
        <v>248</v>
      </c>
      <c r="F42" s="3" t="s">
        <v>446</v>
      </c>
      <c r="G42" s="3"/>
      <c r="H42" s="143" t="s">
        <v>201</v>
      </c>
      <c r="I42" s="36"/>
      <c r="J42" s="36"/>
      <c r="K42" s="36" t="s">
        <v>201</v>
      </c>
      <c r="L42" s="36"/>
      <c r="M42" s="36"/>
      <c r="N42" s="36" t="s">
        <v>249</v>
      </c>
      <c r="O42" s="36" t="s">
        <v>250</v>
      </c>
      <c r="P42" s="36"/>
      <c r="Q42" s="36"/>
      <c r="R42" s="144">
        <f t="shared" si="2"/>
        <v>0.4</v>
      </c>
      <c r="S42" s="11" t="s">
        <v>244</v>
      </c>
      <c r="T42" s="3" t="s">
        <v>251</v>
      </c>
      <c r="U42" s="3" t="s">
        <v>370</v>
      </c>
    </row>
    <row r="43" spans="1:21" ht="72" hidden="1" thickBot="1" x14ac:dyDescent="0.25">
      <c r="A43" s="13" t="s">
        <v>252</v>
      </c>
      <c r="B43" s="39" t="s">
        <v>253</v>
      </c>
      <c r="C43" s="40" t="s">
        <v>60</v>
      </c>
      <c r="D43" s="39" t="s">
        <v>254</v>
      </c>
      <c r="E43" s="22" t="s">
        <v>255</v>
      </c>
      <c r="F43" s="3" t="s">
        <v>446</v>
      </c>
      <c r="G43" s="3"/>
      <c r="H43" s="145"/>
      <c r="I43" s="39"/>
      <c r="J43" s="39"/>
      <c r="K43" s="39"/>
      <c r="L43" s="39"/>
      <c r="M43" s="39"/>
      <c r="N43" s="39"/>
      <c r="O43" s="39"/>
      <c r="P43" s="39"/>
      <c r="Q43" s="39"/>
      <c r="R43" s="146">
        <f t="shared" si="2"/>
        <v>0</v>
      </c>
      <c r="S43" s="3" t="s">
        <v>208</v>
      </c>
      <c r="T43" s="3" t="s">
        <v>256</v>
      </c>
      <c r="U43" s="3" t="s">
        <v>371</v>
      </c>
    </row>
    <row r="44" spans="1:21" ht="14.25" hidden="1" x14ac:dyDescent="0.2">
      <c r="A44" s="5"/>
      <c r="B44" s="34"/>
      <c r="C44" s="34"/>
      <c r="D44" s="34"/>
      <c r="E44" s="20"/>
      <c r="F44" s="3"/>
      <c r="G44" s="3"/>
      <c r="H44" s="115"/>
      <c r="I44" s="116"/>
      <c r="J44" s="116"/>
      <c r="K44" s="116"/>
      <c r="L44" s="116"/>
      <c r="M44" s="116"/>
      <c r="N44" s="116"/>
      <c r="O44" s="116"/>
      <c r="P44" s="116"/>
      <c r="Q44" s="116"/>
      <c r="R44" s="114"/>
      <c r="S44" s="3"/>
      <c r="T44" s="3"/>
      <c r="U44" s="3"/>
    </row>
    <row r="45" spans="1:21" hidden="1" x14ac:dyDescent="0.2">
      <c r="A45" s="180" t="s">
        <v>257</v>
      </c>
      <c r="B45" s="173"/>
      <c r="C45" s="173"/>
      <c r="D45" s="173"/>
      <c r="E45" s="174"/>
      <c r="F45" s="3"/>
      <c r="G45" s="3"/>
      <c r="H45" s="115"/>
      <c r="I45" s="116"/>
      <c r="J45" s="116"/>
      <c r="K45" s="116"/>
      <c r="L45" s="116"/>
      <c r="M45" s="116"/>
      <c r="N45" s="116"/>
      <c r="O45" s="116"/>
      <c r="P45" s="116"/>
      <c r="Q45" s="116"/>
      <c r="R45" s="114"/>
      <c r="S45" s="3"/>
      <c r="T45" s="3"/>
      <c r="U45" s="3"/>
    </row>
    <row r="46" spans="1:21" ht="142.5" hidden="1" x14ac:dyDescent="0.2">
      <c r="A46" s="6" t="s">
        <v>258</v>
      </c>
      <c r="B46" s="41" t="s">
        <v>259</v>
      </c>
      <c r="C46" s="35" t="s">
        <v>21</v>
      </c>
      <c r="D46" s="41" t="s">
        <v>31</v>
      </c>
      <c r="E46" s="23" t="s">
        <v>260</v>
      </c>
      <c r="F46" s="3"/>
      <c r="G46" s="3"/>
      <c r="H46" s="147" t="s">
        <v>261</v>
      </c>
      <c r="I46" s="41" t="s">
        <v>262</v>
      </c>
      <c r="J46" s="41"/>
      <c r="K46" s="41" t="s">
        <v>261</v>
      </c>
      <c r="L46" s="41"/>
      <c r="M46" s="41" t="s">
        <v>261</v>
      </c>
      <c r="N46" s="41"/>
      <c r="O46" s="41" t="s">
        <v>263</v>
      </c>
      <c r="P46" s="41" t="s">
        <v>263</v>
      </c>
      <c r="Q46" s="41" t="s">
        <v>263</v>
      </c>
      <c r="R46" s="148">
        <f t="shared" ref="R46:R56" si="3">COUNTA(H46:Q46)/10</f>
        <v>0.7</v>
      </c>
      <c r="S46" s="11" t="s">
        <v>440</v>
      </c>
      <c r="T46" s="3" t="s">
        <v>264</v>
      </c>
      <c r="U46" s="3" t="s">
        <v>439</v>
      </c>
    </row>
    <row r="47" spans="1:21" ht="57" hidden="1" x14ac:dyDescent="0.2">
      <c r="A47" s="6" t="s">
        <v>265</v>
      </c>
      <c r="B47" s="41" t="s">
        <v>266</v>
      </c>
      <c r="C47" s="42" t="s">
        <v>21</v>
      </c>
      <c r="D47" s="41" t="s">
        <v>31</v>
      </c>
      <c r="E47" s="23" t="s">
        <v>267</v>
      </c>
      <c r="F47" s="3"/>
      <c r="G47" s="3"/>
      <c r="H47" s="147"/>
      <c r="I47" s="41"/>
      <c r="J47" s="41"/>
      <c r="K47" s="41"/>
      <c r="L47" s="41"/>
      <c r="M47" s="41"/>
      <c r="N47" s="41"/>
      <c r="O47" s="41"/>
      <c r="P47" s="41"/>
      <c r="Q47" s="41"/>
      <c r="R47" s="148">
        <f t="shared" si="3"/>
        <v>0</v>
      </c>
      <c r="S47" s="3" t="s">
        <v>156</v>
      </c>
      <c r="T47" s="3" t="s">
        <v>268</v>
      </c>
      <c r="U47" s="3" t="s">
        <v>372</v>
      </c>
    </row>
    <row r="48" spans="1:21" ht="57" hidden="1" x14ac:dyDescent="0.2">
      <c r="A48" s="7" t="s">
        <v>269</v>
      </c>
      <c r="B48" s="43" t="s">
        <v>270</v>
      </c>
      <c r="C48" s="44" t="s">
        <v>60</v>
      </c>
      <c r="D48" s="43" t="s">
        <v>271</v>
      </c>
      <c r="E48" s="24" t="s">
        <v>272</v>
      </c>
      <c r="F48" s="3"/>
      <c r="G48" s="3"/>
      <c r="H48" s="149"/>
      <c r="I48" s="43"/>
      <c r="J48" s="43"/>
      <c r="K48" s="43"/>
      <c r="L48" s="43"/>
      <c r="M48" s="43" t="s">
        <v>273</v>
      </c>
      <c r="N48" s="43" t="s">
        <v>274</v>
      </c>
      <c r="O48" s="43"/>
      <c r="P48" s="43"/>
      <c r="Q48" s="43"/>
      <c r="R48" s="150">
        <f t="shared" si="3"/>
        <v>0.2</v>
      </c>
      <c r="S48" s="3" t="s">
        <v>156</v>
      </c>
      <c r="T48" s="3" t="s">
        <v>275</v>
      </c>
      <c r="U48" s="3" t="s">
        <v>373</v>
      </c>
    </row>
    <row r="49" spans="1:21" ht="128.25" hidden="1" x14ac:dyDescent="0.2">
      <c r="A49" s="6" t="s">
        <v>276</v>
      </c>
      <c r="B49" s="41" t="s">
        <v>277</v>
      </c>
      <c r="C49" s="42" t="s">
        <v>21</v>
      </c>
      <c r="D49" s="41" t="s">
        <v>31</v>
      </c>
      <c r="E49" s="23" t="s">
        <v>278</v>
      </c>
      <c r="F49" s="3"/>
      <c r="G49" s="3"/>
      <c r="H49" s="147"/>
      <c r="I49" s="41"/>
      <c r="J49" s="41"/>
      <c r="K49" s="41"/>
      <c r="L49" s="41"/>
      <c r="M49" s="41"/>
      <c r="N49" s="41"/>
      <c r="O49" s="41"/>
      <c r="P49" s="41"/>
      <c r="Q49" s="41"/>
      <c r="R49" s="148">
        <f t="shared" si="3"/>
        <v>0</v>
      </c>
      <c r="S49" s="3" t="s">
        <v>156</v>
      </c>
      <c r="T49" s="3" t="s">
        <v>279</v>
      </c>
      <c r="U49" s="3" t="s">
        <v>462</v>
      </c>
    </row>
    <row r="50" spans="1:21" ht="57" hidden="1" x14ac:dyDescent="0.2">
      <c r="A50" s="7" t="s">
        <v>280</v>
      </c>
      <c r="B50" s="43" t="s">
        <v>281</v>
      </c>
      <c r="C50" s="44" t="s">
        <v>60</v>
      </c>
      <c r="D50" s="43" t="s">
        <v>31</v>
      </c>
      <c r="E50" s="24" t="s">
        <v>282</v>
      </c>
      <c r="F50" s="3"/>
      <c r="G50" s="3"/>
      <c r="H50" s="149"/>
      <c r="I50" s="43"/>
      <c r="J50" s="43"/>
      <c r="K50" s="43"/>
      <c r="L50" s="43"/>
      <c r="M50" s="43"/>
      <c r="N50" s="43"/>
      <c r="O50" s="43"/>
      <c r="P50" s="43"/>
      <c r="Q50" s="43"/>
      <c r="R50" s="150">
        <f t="shared" si="3"/>
        <v>0</v>
      </c>
      <c r="S50" s="3" t="s">
        <v>156</v>
      </c>
      <c r="T50" s="3" t="s">
        <v>283</v>
      </c>
      <c r="U50" s="3" t="s">
        <v>374</v>
      </c>
    </row>
    <row r="51" spans="1:21" ht="43.5" hidden="1" thickBot="1" x14ac:dyDescent="0.25">
      <c r="A51" s="14" t="s">
        <v>284</v>
      </c>
      <c r="B51" s="45" t="s">
        <v>285</v>
      </c>
      <c r="C51" s="46" t="s">
        <v>60</v>
      </c>
      <c r="D51" s="45" t="s">
        <v>22</v>
      </c>
      <c r="E51" s="25" t="s">
        <v>286</v>
      </c>
      <c r="F51" s="3" t="s">
        <v>446</v>
      </c>
      <c r="G51" s="3"/>
      <c r="H51" s="151"/>
      <c r="I51" s="45"/>
      <c r="J51" s="45"/>
      <c r="K51" s="45"/>
      <c r="L51" s="45"/>
      <c r="M51" s="45"/>
      <c r="N51" s="45"/>
      <c r="O51" s="45"/>
      <c r="P51" s="45"/>
      <c r="Q51" s="45"/>
      <c r="R51" s="152">
        <f t="shared" si="3"/>
        <v>0</v>
      </c>
      <c r="S51" s="3" t="s">
        <v>208</v>
      </c>
      <c r="T51" s="3" t="s">
        <v>458</v>
      </c>
      <c r="U51" s="3" t="s">
        <v>375</v>
      </c>
    </row>
    <row r="52" spans="1:21" ht="43.5" hidden="1" thickBot="1" x14ac:dyDescent="0.25">
      <c r="A52" s="14" t="s">
        <v>287</v>
      </c>
      <c r="B52" s="45" t="s">
        <v>288</v>
      </c>
      <c r="C52" s="46" t="s">
        <v>60</v>
      </c>
      <c r="D52" s="45" t="s">
        <v>22</v>
      </c>
      <c r="E52" s="25" t="s">
        <v>289</v>
      </c>
      <c r="F52" s="3" t="s">
        <v>446</v>
      </c>
      <c r="G52" s="3"/>
      <c r="H52" s="151"/>
      <c r="I52" s="45"/>
      <c r="J52" s="45"/>
      <c r="K52" s="45"/>
      <c r="L52" s="45"/>
      <c r="M52" s="45"/>
      <c r="N52" s="45"/>
      <c r="O52" s="45"/>
      <c r="P52" s="45"/>
      <c r="Q52" s="45"/>
      <c r="R52" s="152">
        <f t="shared" si="3"/>
        <v>0</v>
      </c>
      <c r="S52" s="3" t="s">
        <v>208</v>
      </c>
      <c r="T52" s="3" t="s">
        <v>290</v>
      </c>
      <c r="U52" s="3" t="s">
        <v>376</v>
      </c>
    </row>
    <row r="53" spans="1:21" ht="39" hidden="1" thickBot="1" x14ac:dyDescent="0.25">
      <c r="A53" s="15" t="s">
        <v>291</v>
      </c>
      <c r="B53" s="47" t="s">
        <v>292</v>
      </c>
      <c r="C53" s="48" t="s">
        <v>60</v>
      </c>
      <c r="D53" s="47" t="s">
        <v>22</v>
      </c>
      <c r="E53" s="26" t="s">
        <v>293</v>
      </c>
      <c r="F53" s="3" t="s">
        <v>446</v>
      </c>
      <c r="G53" s="3"/>
      <c r="H53" s="153"/>
      <c r="I53" s="47"/>
      <c r="J53" s="47"/>
      <c r="K53" s="47"/>
      <c r="L53" s="47"/>
      <c r="M53" s="47"/>
      <c r="N53" s="47"/>
      <c r="O53" s="47"/>
      <c r="P53" s="47"/>
      <c r="Q53" s="47"/>
      <c r="R53" s="154">
        <f t="shared" si="3"/>
        <v>0</v>
      </c>
      <c r="S53" s="3" t="s">
        <v>208</v>
      </c>
      <c r="T53" s="3" t="s">
        <v>457</v>
      </c>
      <c r="U53" s="3" t="s">
        <v>377</v>
      </c>
    </row>
    <row r="54" spans="1:21" ht="143.25" hidden="1" thickBot="1" x14ac:dyDescent="0.25">
      <c r="A54" s="16" t="s">
        <v>294</v>
      </c>
      <c r="B54" s="49" t="s">
        <v>295</v>
      </c>
      <c r="C54" s="38" t="s">
        <v>21</v>
      </c>
      <c r="D54" s="49" t="s">
        <v>31</v>
      </c>
      <c r="E54" s="27" t="s">
        <v>296</v>
      </c>
      <c r="F54" s="3" t="s">
        <v>446</v>
      </c>
      <c r="G54" s="3"/>
      <c r="H54" s="155"/>
      <c r="I54" s="49"/>
      <c r="J54" s="49"/>
      <c r="K54" s="49"/>
      <c r="L54" s="49"/>
      <c r="M54" s="49" t="s">
        <v>297</v>
      </c>
      <c r="N54" s="49"/>
      <c r="O54" s="49"/>
      <c r="P54" s="49"/>
      <c r="Q54" s="49"/>
      <c r="R54" s="156">
        <f t="shared" si="3"/>
        <v>0.1</v>
      </c>
      <c r="S54" s="11" t="s">
        <v>208</v>
      </c>
      <c r="T54" s="3" t="s">
        <v>402</v>
      </c>
      <c r="U54" s="3" t="s">
        <v>378</v>
      </c>
    </row>
    <row r="55" spans="1:21" ht="51.75" hidden="1" thickBot="1" x14ac:dyDescent="0.25">
      <c r="A55" s="14" t="s">
        <v>298</v>
      </c>
      <c r="B55" s="45" t="s">
        <v>299</v>
      </c>
      <c r="C55" s="50" t="s">
        <v>60</v>
      </c>
      <c r="D55" s="45" t="s">
        <v>31</v>
      </c>
      <c r="E55" s="25" t="s">
        <v>300</v>
      </c>
      <c r="F55" s="3" t="s">
        <v>446</v>
      </c>
      <c r="G55" s="3"/>
      <c r="H55" s="151"/>
      <c r="I55" s="45"/>
      <c r="J55" s="45"/>
      <c r="K55" s="45"/>
      <c r="L55" s="45"/>
      <c r="M55" s="45"/>
      <c r="N55" s="45"/>
      <c r="O55" s="45"/>
      <c r="P55" s="45"/>
      <c r="Q55" s="45"/>
      <c r="R55" s="152">
        <f t="shared" si="3"/>
        <v>0</v>
      </c>
      <c r="S55" s="3" t="s">
        <v>208</v>
      </c>
      <c r="T55" s="3" t="s">
        <v>401</v>
      </c>
      <c r="U55" s="3" t="s">
        <v>380</v>
      </c>
    </row>
    <row r="56" spans="1:21" ht="57.75" hidden="1" thickBot="1" x14ac:dyDescent="0.25">
      <c r="A56" s="14" t="s">
        <v>301</v>
      </c>
      <c r="B56" s="45" t="s">
        <v>302</v>
      </c>
      <c r="C56" s="50" t="s">
        <v>60</v>
      </c>
      <c r="D56" s="45" t="s">
        <v>31</v>
      </c>
      <c r="E56" s="25" t="s">
        <v>303</v>
      </c>
      <c r="F56" s="3" t="s">
        <v>446</v>
      </c>
      <c r="G56" s="3"/>
      <c r="H56" s="151"/>
      <c r="I56" s="45"/>
      <c r="J56" s="45"/>
      <c r="K56" s="45"/>
      <c r="L56" s="45"/>
      <c r="M56" s="45"/>
      <c r="N56" s="45"/>
      <c r="O56" s="45"/>
      <c r="P56" s="45"/>
      <c r="Q56" s="45"/>
      <c r="R56" s="152">
        <f t="shared" si="3"/>
        <v>0</v>
      </c>
      <c r="S56" s="3" t="s">
        <v>208</v>
      </c>
      <c r="T56" s="3" t="s">
        <v>400</v>
      </c>
      <c r="U56" s="3" t="s">
        <v>381</v>
      </c>
    </row>
    <row r="57" spans="1:21" ht="14.25" hidden="1" x14ac:dyDescent="0.2">
      <c r="A57" s="5"/>
      <c r="B57" s="34"/>
      <c r="C57" s="34"/>
      <c r="D57" s="34"/>
      <c r="E57" s="20"/>
      <c r="F57" s="3"/>
      <c r="G57" s="3"/>
      <c r="H57" s="157"/>
      <c r="I57" s="158"/>
      <c r="J57" s="158"/>
      <c r="K57" s="158"/>
      <c r="L57" s="158"/>
      <c r="M57" s="158"/>
      <c r="N57" s="158"/>
      <c r="O57" s="158"/>
      <c r="P57" s="158"/>
      <c r="Q57" s="158"/>
      <c r="R57" s="159"/>
      <c r="S57" s="3"/>
      <c r="T57" s="3"/>
      <c r="U57" s="3"/>
    </row>
    <row r="58" spans="1:21" hidden="1" x14ac:dyDescent="0.2">
      <c r="A58" s="172" t="s">
        <v>304</v>
      </c>
      <c r="B58" s="173"/>
      <c r="C58" s="173"/>
      <c r="D58" s="173"/>
      <c r="E58" s="174"/>
      <c r="F58" s="3"/>
      <c r="G58" s="3"/>
      <c r="H58" s="157"/>
      <c r="I58" s="158"/>
      <c r="J58" s="158"/>
      <c r="K58" s="158"/>
      <c r="L58" s="158"/>
      <c r="M58" s="158"/>
      <c r="N58" s="158"/>
      <c r="O58" s="158"/>
      <c r="P58" s="158"/>
      <c r="Q58" s="158"/>
      <c r="R58" s="159"/>
      <c r="S58" s="3"/>
      <c r="T58" s="3"/>
      <c r="U58" s="3"/>
    </row>
    <row r="59" spans="1:21" ht="91.5" hidden="1" customHeight="1" thickBot="1" x14ac:dyDescent="0.25">
      <c r="A59" s="17" t="s">
        <v>305</v>
      </c>
      <c r="B59" s="51" t="s">
        <v>306</v>
      </c>
      <c r="C59" s="38" t="s">
        <v>21</v>
      </c>
      <c r="D59" s="51" t="s">
        <v>22</v>
      </c>
      <c r="E59" s="28" t="s">
        <v>307</v>
      </c>
      <c r="F59" s="3" t="s">
        <v>446</v>
      </c>
      <c r="G59" s="3"/>
      <c r="H59" s="160" t="s">
        <v>234</v>
      </c>
      <c r="I59" s="51" t="s">
        <v>308</v>
      </c>
      <c r="J59" s="51"/>
      <c r="K59" s="51" t="s">
        <v>235</v>
      </c>
      <c r="L59" s="51" t="s">
        <v>309</v>
      </c>
      <c r="M59" s="51" t="s">
        <v>310</v>
      </c>
      <c r="N59" s="51" t="s">
        <v>311</v>
      </c>
      <c r="O59" s="51" t="s">
        <v>312</v>
      </c>
      <c r="P59" s="51" t="s">
        <v>313</v>
      </c>
      <c r="Q59" s="51" t="s">
        <v>314</v>
      </c>
      <c r="R59" s="161">
        <f t="shared" ref="R59:R68" si="4">COUNTA(H59:Q59)/10</f>
        <v>0.9</v>
      </c>
      <c r="S59" s="3" t="s">
        <v>208</v>
      </c>
      <c r="T59" s="3" t="s">
        <v>399</v>
      </c>
      <c r="U59" s="3" t="s">
        <v>382</v>
      </c>
    </row>
    <row r="60" spans="1:21" ht="57.75" hidden="1" thickBot="1" x14ac:dyDescent="0.25">
      <c r="A60" s="17" t="s">
        <v>315</v>
      </c>
      <c r="B60" s="51" t="s">
        <v>316</v>
      </c>
      <c r="C60" s="52" t="s">
        <v>21</v>
      </c>
      <c r="D60" s="51" t="s">
        <v>22</v>
      </c>
      <c r="E60" s="28" t="s">
        <v>317</v>
      </c>
      <c r="F60" s="3" t="s">
        <v>446</v>
      </c>
      <c r="G60" s="3"/>
      <c r="H60" s="160"/>
      <c r="I60" s="51"/>
      <c r="J60" s="51"/>
      <c r="K60" s="51"/>
      <c r="L60" s="51"/>
      <c r="M60" s="51" t="s">
        <v>318</v>
      </c>
      <c r="N60" s="51" t="s">
        <v>319</v>
      </c>
      <c r="O60" s="51"/>
      <c r="P60" s="51" t="s">
        <v>320</v>
      </c>
      <c r="Q60" s="51"/>
      <c r="R60" s="161">
        <f t="shared" si="4"/>
        <v>0.3</v>
      </c>
      <c r="S60" s="3" t="s">
        <v>208</v>
      </c>
      <c r="T60" s="3" t="s">
        <v>398</v>
      </c>
      <c r="U60" s="3" t="s">
        <v>383</v>
      </c>
    </row>
    <row r="61" spans="1:21" ht="43.5" hidden="1" thickBot="1" x14ac:dyDescent="0.25">
      <c r="A61" s="17" t="s">
        <v>321</v>
      </c>
      <c r="B61" s="51" t="s">
        <v>322</v>
      </c>
      <c r="C61" s="38" t="s">
        <v>21</v>
      </c>
      <c r="D61" s="51" t="s">
        <v>271</v>
      </c>
      <c r="E61" s="28" t="s">
        <v>323</v>
      </c>
      <c r="F61" s="3" t="s">
        <v>446</v>
      </c>
      <c r="G61" s="3"/>
      <c r="H61" s="160"/>
      <c r="I61" s="51"/>
      <c r="J61" s="51"/>
      <c r="K61" s="51"/>
      <c r="L61" s="51"/>
      <c r="M61" s="51"/>
      <c r="N61" s="51"/>
      <c r="O61" s="51"/>
      <c r="P61" s="51"/>
      <c r="Q61" s="51"/>
      <c r="R61" s="161">
        <f t="shared" si="4"/>
        <v>0</v>
      </c>
      <c r="S61" s="3" t="s">
        <v>208</v>
      </c>
      <c r="T61" s="3" t="s">
        <v>324</v>
      </c>
      <c r="U61" s="3" t="s">
        <v>384</v>
      </c>
    </row>
    <row r="62" spans="1:21" ht="43.5" hidden="1" thickBot="1" x14ac:dyDescent="0.25">
      <c r="A62" s="18" t="s">
        <v>325</v>
      </c>
      <c r="B62" s="53" t="s">
        <v>326</v>
      </c>
      <c r="C62" s="54" t="s">
        <v>60</v>
      </c>
      <c r="D62" s="53" t="s">
        <v>22</v>
      </c>
      <c r="E62" s="29" t="s">
        <v>327</v>
      </c>
      <c r="F62" s="3" t="s">
        <v>446</v>
      </c>
      <c r="G62" s="3"/>
      <c r="H62" s="162"/>
      <c r="I62" s="53"/>
      <c r="J62" s="53"/>
      <c r="K62" s="53"/>
      <c r="L62" s="53"/>
      <c r="M62" s="53"/>
      <c r="N62" s="53"/>
      <c r="O62" s="53"/>
      <c r="P62" s="53"/>
      <c r="Q62" s="53"/>
      <c r="R62" s="163">
        <f t="shared" si="4"/>
        <v>0</v>
      </c>
      <c r="S62" s="3" t="s">
        <v>208</v>
      </c>
      <c r="T62" s="3" t="s">
        <v>328</v>
      </c>
      <c r="U62" s="3" t="s">
        <v>385</v>
      </c>
    </row>
    <row r="63" spans="1:21" ht="43.5" hidden="1" thickBot="1" x14ac:dyDescent="0.25">
      <c r="A63" s="18" t="s">
        <v>329</v>
      </c>
      <c r="B63" s="53" t="s">
        <v>330</v>
      </c>
      <c r="C63" s="54" t="s">
        <v>60</v>
      </c>
      <c r="D63" s="53" t="s">
        <v>22</v>
      </c>
      <c r="E63" s="29" t="s">
        <v>331</v>
      </c>
      <c r="F63" s="3" t="s">
        <v>446</v>
      </c>
      <c r="G63" s="3"/>
      <c r="H63" s="162"/>
      <c r="I63" s="53"/>
      <c r="J63" s="53"/>
      <c r="K63" s="53"/>
      <c r="L63" s="53"/>
      <c r="M63" s="53"/>
      <c r="N63" s="53"/>
      <c r="O63" s="53"/>
      <c r="P63" s="53"/>
      <c r="Q63" s="53"/>
      <c r="R63" s="163">
        <f t="shared" si="4"/>
        <v>0</v>
      </c>
      <c r="S63" s="3" t="s">
        <v>208</v>
      </c>
      <c r="T63" s="3" t="s">
        <v>397</v>
      </c>
      <c r="U63" s="3" t="s">
        <v>386</v>
      </c>
    </row>
    <row r="64" spans="1:21" ht="171.75" hidden="1" thickBot="1" x14ac:dyDescent="0.25">
      <c r="A64" s="18" t="s">
        <v>332</v>
      </c>
      <c r="B64" s="53" t="s">
        <v>333</v>
      </c>
      <c r="C64" s="54" t="s">
        <v>60</v>
      </c>
      <c r="D64" s="53" t="s">
        <v>334</v>
      </c>
      <c r="E64" s="29" t="s">
        <v>335</v>
      </c>
      <c r="F64" s="3" t="s">
        <v>446</v>
      </c>
      <c r="G64" s="3"/>
      <c r="H64" s="162"/>
      <c r="I64" s="53" t="s">
        <v>336</v>
      </c>
      <c r="J64" s="53" t="s">
        <v>337</v>
      </c>
      <c r="K64" s="53" t="s">
        <v>338</v>
      </c>
      <c r="L64" s="53" t="s">
        <v>339</v>
      </c>
      <c r="M64" s="53"/>
      <c r="N64" s="53"/>
      <c r="O64" s="53"/>
      <c r="P64" s="53"/>
      <c r="Q64" s="53" t="s">
        <v>340</v>
      </c>
      <c r="R64" s="163">
        <f t="shared" si="4"/>
        <v>0.5</v>
      </c>
      <c r="S64" s="3" t="s">
        <v>208</v>
      </c>
      <c r="T64" s="3" t="s">
        <v>393</v>
      </c>
      <c r="U64" s="3" t="s">
        <v>387</v>
      </c>
    </row>
    <row r="65" spans="1:21" ht="39" hidden="1" thickBot="1" x14ac:dyDescent="0.25">
      <c r="A65" s="18" t="s">
        <v>341</v>
      </c>
      <c r="B65" s="53" t="s">
        <v>342</v>
      </c>
      <c r="C65" s="54" t="s">
        <v>60</v>
      </c>
      <c r="D65" s="53" t="s">
        <v>130</v>
      </c>
      <c r="E65" s="29" t="s">
        <v>343</v>
      </c>
      <c r="F65" s="3" t="s">
        <v>446</v>
      </c>
      <c r="G65" s="3"/>
      <c r="H65" s="162"/>
      <c r="I65" s="53"/>
      <c r="J65" s="53"/>
      <c r="K65" s="53"/>
      <c r="L65" s="53"/>
      <c r="M65" s="53"/>
      <c r="N65" s="53"/>
      <c r="O65" s="53"/>
      <c r="P65" s="53"/>
      <c r="Q65" s="53"/>
      <c r="R65" s="163">
        <f t="shared" si="4"/>
        <v>0</v>
      </c>
      <c r="S65" s="3" t="s">
        <v>208</v>
      </c>
      <c r="T65" s="3"/>
      <c r="U65" s="3" t="s">
        <v>388</v>
      </c>
    </row>
    <row r="66" spans="1:21" ht="72" hidden="1" thickBot="1" x14ac:dyDescent="0.25">
      <c r="A66" s="18" t="s">
        <v>344</v>
      </c>
      <c r="B66" s="53" t="s">
        <v>345</v>
      </c>
      <c r="C66" s="54" t="s">
        <v>60</v>
      </c>
      <c r="D66" s="53" t="s">
        <v>22</v>
      </c>
      <c r="E66" s="29" t="s">
        <v>346</v>
      </c>
      <c r="F66" s="8" t="s">
        <v>446</v>
      </c>
      <c r="G66" s="8"/>
      <c r="H66" s="162"/>
      <c r="I66" s="53"/>
      <c r="J66" s="53"/>
      <c r="K66" s="53"/>
      <c r="L66" s="53"/>
      <c r="M66" s="53"/>
      <c r="N66" s="53"/>
      <c r="O66" s="53"/>
      <c r="P66" s="53"/>
      <c r="Q66" s="53"/>
      <c r="R66" s="163">
        <f t="shared" si="4"/>
        <v>0</v>
      </c>
      <c r="S66" s="3" t="s">
        <v>208</v>
      </c>
      <c r="T66" s="3" t="s">
        <v>394</v>
      </c>
      <c r="U66" s="3" t="s">
        <v>390</v>
      </c>
    </row>
    <row r="67" spans="1:21" ht="57.75" hidden="1" thickBot="1" x14ac:dyDescent="0.25">
      <c r="A67" s="18" t="s">
        <v>347</v>
      </c>
      <c r="B67" s="53" t="s">
        <v>348</v>
      </c>
      <c r="C67" s="54" t="s">
        <v>60</v>
      </c>
      <c r="D67" s="53" t="s">
        <v>22</v>
      </c>
      <c r="E67" s="29" t="s">
        <v>349</v>
      </c>
      <c r="F67" s="8" t="s">
        <v>446</v>
      </c>
      <c r="G67" s="8"/>
      <c r="H67" s="162"/>
      <c r="I67" s="53"/>
      <c r="J67" s="53"/>
      <c r="K67" s="53"/>
      <c r="L67" s="53"/>
      <c r="M67" s="53"/>
      <c r="N67" s="53"/>
      <c r="O67" s="53"/>
      <c r="P67" s="53"/>
      <c r="Q67" s="53"/>
      <c r="R67" s="163">
        <f t="shared" si="4"/>
        <v>0</v>
      </c>
      <c r="S67" s="3" t="s">
        <v>208</v>
      </c>
      <c r="T67" s="9" t="s">
        <v>395</v>
      </c>
      <c r="U67" s="3" t="s">
        <v>391</v>
      </c>
    </row>
    <row r="68" spans="1:21" ht="43.5" hidden="1" thickBot="1" x14ac:dyDescent="0.25">
      <c r="A68" s="18" t="s">
        <v>350</v>
      </c>
      <c r="B68" s="53" t="s">
        <v>351</v>
      </c>
      <c r="C68" s="54" t="s">
        <v>60</v>
      </c>
      <c r="D68" s="53" t="s">
        <v>22</v>
      </c>
      <c r="E68" s="29" t="s">
        <v>352</v>
      </c>
      <c r="F68" s="8" t="s">
        <v>446</v>
      </c>
      <c r="G68" s="8"/>
      <c r="H68" s="162"/>
      <c r="I68" s="53"/>
      <c r="J68" s="53"/>
      <c r="K68" s="53"/>
      <c r="L68" s="53"/>
      <c r="M68" s="53"/>
      <c r="N68" s="53"/>
      <c r="O68" s="53"/>
      <c r="P68" s="53"/>
      <c r="Q68" s="53"/>
      <c r="R68" s="163">
        <f t="shared" si="4"/>
        <v>0</v>
      </c>
      <c r="S68" s="3" t="s">
        <v>208</v>
      </c>
      <c r="T68" s="9" t="s">
        <v>396</v>
      </c>
      <c r="U68" s="3" t="s">
        <v>392</v>
      </c>
    </row>
    <row r="69" spans="1:21" hidden="1" x14ac:dyDescent="0.2">
      <c r="A69" s="9"/>
      <c r="B69" s="55"/>
      <c r="C69" s="55"/>
      <c r="D69" s="55"/>
      <c r="E69" s="30"/>
      <c r="F69" s="9"/>
      <c r="G69" s="9"/>
      <c r="H69" s="164"/>
      <c r="I69" s="55"/>
      <c r="J69" s="55"/>
      <c r="K69" s="55"/>
      <c r="L69" s="55"/>
      <c r="M69" s="55"/>
      <c r="N69" s="55"/>
      <c r="O69" s="55"/>
      <c r="P69" s="55"/>
      <c r="Q69" s="55"/>
      <c r="R69" s="165"/>
      <c r="S69" s="9"/>
      <c r="T69" s="9"/>
      <c r="U69" s="9"/>
    </row>
    <row r="70" spans="1:21" ht="42.75" hidden="1" x14ac:dyDescent="0.2">
      <c r="A70" s="10" t="s">
        <v>353</v>
      </c>
      <c r="B70" s="56" t="s">
        <v>354</v>
      </c>
      <c r="C70" s="57" t="s">
        <v>60</v>
      </c>
      <c r="D70" s="56" t="s">
        <v>22</v>
      </c>
      <c r="E70" s="31"/>
      <c r="F70" s="3"/>
      <c r="G70" s="3"/>
      <c r="H70" s="115"/>
      <c r="I70" s="116"/>
      <c r="J70" s="116"/>
      <c r="K70" s="116"/>
      <c r="L70" s="116"/>
      <c r="M70" s="166"/>
      <c r="N70" s="166"/>
      <c r="O70" s="166"/>
      <c r="P70" s="166"/>
      <c r="Q70" s="166"/>
      <c r="R70" s="114"/>
      <c r="S70" s="3" t="s">
        <v>355</v>
      </c>
      <c r="T70" s="3" t="s">
        <v>379</v>
      </c>
      <c r="U70" s="3" t="s">
        <v>389</v>
      </c>
    </row>
    <row r="71" spans="1:21" hidden="1" x14ac:dyDescent="0.2">
      <c r="A71" s="9"/>
      <c r="B71" s="55"/>
      <c r="C71" s="55"/>
      <c r="D71" s="55"/>
      <c r="E71" s="30"/>
      <c r="F71" s="9"/>
      <c r="G71" s="9"/>
      <c r="H71" s="164"/>
      <c r="I71" s="55"/>
      <c r="J71" s="55"/>
      <c r="K71" s="55"/>
      <c r="L71" s="55"/>
      <c r="M71" s="55"/>
      <c r="N71" s="55"/>
      <c r="O71" s="55"/>
      <c r="P71" s="55"/>
      <c r="Q71" s="55"/>
      <c r="R71" s="165"/>
      <c r="S71" s="9"/>
      <c r="T71" s="9"/>
      <c r="U71" s="9"/>
    </row>
    <row r="72" spans="1:21" hidden="1" x14ac:dyDescent="0.2">
      <c r="A72" s="9"/>
      <c r="B72" s="55"/>
      <c r="C72" s="55"/>
      <c r="D72" s="55"/>
      <c r="E72" s="30"/>
      <c r="F72" s="9"/>
      <c r="G72" s="9"/>
      <c r="H72" s="164"/>
      <c r="I72" s="55"/>
      <c r="J72" s="55"/>
      <c r="K72" s="55"/>
      <c r="L72" s="55"/>
      <c r="M72" s="55"/>
      <c r="N72" s="55"/>
      <c r="O72" s="55"/>
      <c r="P72" s="55"/>
      <c r="Q72" s="55"/>
      <c r="R72" s="165"/>
      <c r="S72" s="9"/>
      <c r="T72" s="9"/>
      <c r="U72" s="9"/>
    </row>
    <row r="73" spans="1:21" hidden="1" x14ac:dyDescent="0.2">
      <c r="A73" s="9"/>
      <c r="B73" s="55"/>
      <c r="C73" s="55"/>
      <c r="D73" s="55"/>
      <c r="E73" s="30"/>
      <c r="F73" s="9"/>
      <c r="G73" s="9"/>
      <c r="H73" s="164"/>
      <c r="I73" s="55"/>
      <c r="J73" s="55"/>
      <c r="K73" s="55"/>
      <c r="L73" s="55"/>
      <c r="M73" s="55"/>
      <c r="N73" s="55"/>
      <c r="O73" s="55"/>
      <c r="P73" s="55"/>
      <c r="Q73" s="55"/>
      <c r="R73" s="165"/>
      <c r="S73" s="9"/>
      <c r="T73" s="9"/>
      <c r="U73" s="9"/>
    </row>
    <row r="74" spans="1:21" hidden="1" x14ac:dyDescent="0.2">
      <c r="A74" s="9"/>
      <c r="B74" s="55"/>
      <c r="C74" s="55"/>
      <c r="D74" s="55"/>
      <c r="E74" s="30"/>
      <c r="F74" s="9"/>
      <c r="G74" s="9"/>
      <c r="H74" s="164"/>
      <c r="I74" s="55"/>
      <c r="J74" s="55"/>
      <c r="K74" s="55"/>
      <c r="L74" s="55"/>
      <c r="M74" s="55"/>
      <c r="N74" s="55"/>
      <c r="O74" s="55"/>
      <c r="P74" s="55"/>
      <c r="Q74" s="55"/>
      <c r="R74" s="165"/>
      <c r="S74" s="9"/>
      <c r="T74" s="9"/>
      <c r="U74" s="9"/>
    </row>
    <row r="75" spans="1:21" hidden="1" x14ac:dyDescent="0.2">
      <c r="A75" s="9"/>
      <c r="B75" s="55"/>
      <c r="C75" s="55"/>
      <c r="D75" s="55"/>
      <c r="E75" s="30"/>
      <c r="F75" s="9"/>
      <c r="G75" s="9"/>
      <c r="H75" s="164"/>
      <c r="I75" s="55"/>
      <c r="J75" s="55"/>
      <c r="K75" s="55"/>
      <c r="L75" s="55"/>
      <c r="M75" s="55"/>
      <c r="N75" s="55"/>
      <c r="O75" s="55"/>
      <c r="P75" s="55"/>
      <c r="Q75" s="55"/>
      <c r="R75" s="165"/>
      <c r="S75" s="9"/>
      <c r="T75" s="9"/>
      <c r="U75" s="9"/>
    </row>
    <row r="76" spans="1:21" hidden="1" x14ac:dyDescent="0.2">
      <c r="A76" s="9"/>
      <c r="B76" s="55"/>
      <c r="C76" s="55"/>
      <c r="D76" s="55"/>
      <c r="E76" s="30"/>
      <c r="F76" s="9"/>
      <c r="G76" s="9"/>
      <c r="H76" s="164"/>
      <c r="I76" s="55"/>
      <c r="J76" s="55"/>
      <c r="K76" s="55"/>
      <c r="L76" s="55"/>
      <c r="M76" s="55"/>
      <c r="N76" s="55"/>
      <c r="O76" s="55"/>
      <c r="P76" s="55"/>
      <c r="Q76" s="55"/>
      <c r="R76" s="165"/>
      <c r="S76" s="9"/>
      <c r="T76" s="9"/>
      <c r="U76" s="9"/>
    </row>
    <row r="77" spans="1:21" hidden="1" x14ac:dyDescent="0.2">
      <c r="A77" s="9"/>
      <c r="B77" s="55"/>
      <c r="C77" s="55"/>
      <c r="D77" s="55"/>
      <c r="E77" s="30"/>
      <c r="F77" s="9"/>
      <c r="G77" s="9"/>
      <c r="H77" s="164"/>
      <c r="I77" s="55"/>
      <c r="J77" s="55"/>
      <c r="K77" s="55"/>
      <c r="L77" s="55"/>
      <c r="M77" s="55"/>
      <c r="N77" s="55"/>
      <c r="O77" s="55"/>
      <c r="P77" s="55"/>
      <c r="Q77" s="55"/>
      <c r="R77" s="165"/>
      <c r="S77" s="9"/>
      <c r="T77" s="9"/>
      <c r="U77" s="9"/>
    </row>
    <row r="78" spans="1:21" hidden="1" x14ac:dyDescent="0.2">
      <c r="A78" s="9"/>
      <c r="B78" s="55"/>
      <c r="C78" s="55"/>
      <c r="D78" s="55"/>
      <c r="E78" s="30"/>
      <c r="F78" s="9"/>
      <c r="G78" s="9"/>
      <c r="H78" s="164"/>
      <c r="I78" s="55"/>
      <c r="J78" s="55"/>
      <c r="K78" s="55"/>
      <c r="L78" s="55"/>
      <c r="M78" s="55"/>
      <c r="N78" s="55"/>
      <c r="O78" s="55"/>
      <c r="P78" s="55"/>
      <c r="Q78" s="55"/>
      <c r="R78" s="165"/>
      <c r="S78" s="9"/>
      <c r="T78" s="9"/>
      <c r="U78" s="9"/>
    </row>
    <row r="79" spans="1:21" hidden="1" x14ac:dyDescent="0.2">
      <c r="A79" s="9"/>
      <c r="B79" s="55"/>
      <c r="C79" s="55"/>
      <c r="D79" s="55"/>
      <c r="E79" s="30"/>
      <c r="F79" s="9"/>
      <c r="G79" s="9"/>
      <c r="H79" s="164"/>
      <c r="I79" s="55"/>
      <c r="J79" s="55"/>
      <c r="K79" s="55"/>
      <c r="L79" s="55"/>
      <c r="M79" s="55"/>
      <c r="N79" s="55"/>
      <c r="O79" s="55"/>
      <c r="P79" s="55"/>
      <c r="Q79" s="55"/>
      <c r="R79" s="165"/>
      <c r="S79" s="9"/>
      <c r="T79" s="9"/>
      <c r="U79" s="9"/>
    </row>
    <row r="80" spans="1:21" hidden="1" x14ac:dyDescent="0.2">
      <c r="A80" s="9"/>
      <c r="B80" s="55"/>
      <c r="C80" s="55"/>
      <c r="D80" s="55"/>
      <c r="E80" s="30"/>
      <c r="F80" s="9"/>
      <c r="G80" s="9"/>
      <c r="H80" s="164"/>
      <c r="I80" s="55"/>
      <c r="J80" s="55"/>
      <c r="K80" s="55"/>
      <c r="L80" s="55"/>
      <c r="M80" s="55"/>
      <c r="N80" s="55"/>
      <c r="O80" s="55"/>
      <c r="P80" s="55"/>
      <c r="Q80" s="55"/>
      <c r="R80" s="165"/>
      <c r="S80" s="9"/>
      <c r="T80" s="9"/>
      <c r="U80" s="9"/>
    </row>
    <row r="81" spans="1:21" hidden="1" x14ac:dyDescent="0.2">
      <c r="A81" s="9"/>
      <c r="B81" s="55"/>
      <c r="C81" s="55"/>
      <c r="D81" s="55"/>
      <c r="E81" s="30"/>
      <c r="F81" s="9"/>
      <c r="G81" s="9"/>
      <c r="H81" s="164"/>
      <c r="I81" s="55"/>
      <c r="J81" s="55"/>
      <c r="K81" s="55"/>
      <c r="L81" s="55"/>
      <c r="M81" s="55"/>
      <c r="N81" s="55"/>
      <c r="O81" s="55"/>
      <c r="P81" s="55"/>
      <c r="Q81" s="55"/>
      <c r="R81" s="165"/>
      <c r="S81" s="9"/>
      <c r="T81" s="9"/>
      <c r="U81" s="9"/>
    </row>
    <row r="82" spans="1:21" hidden="1" x14ac:dyDescent="0.2">
      <c r="A82" s="9"/>
      <c r="B82" s="55"/>
      <c r="C82" s="55"/>
      <c r="D82" s="55"/>
      <c r="E82" s="30"/>
      <c r="F82" s="9"/>
      <c r="G82" s="9"/>
      <c r="H82" s="164"/>
      <c r="I82" s="55"/>
      <c r="J82" s="55"/>
      <c r="K82" s="55"/>
      <c r="L82" s="55"/>
      <c r="M82" s="55"/>
      <c r="N82" s="55"/>
      <c r="O82" s="55"/>
      <c r="P82" s="55"/>
      <c r="Q82" s="55"/>
      <c r="R82" s="165"/>
      <c r="S82" s="9"/>
      <c r="T82" s="9"/>
      <c r="U82" s="9"/>
    </row>
    <row r="83" spans="1:21" hidden="1" x14ac:dyDescent="0.2">
      <c r="A83" s="9"/>
      <c r="B83" s="55"/>
      <c r="C83" s="55"/>
      <c r="D83" s="55"/>
      <c r="E83" s="30"/>
      <c r="F83" s="9"/>
      <c r="G83" s="9"/>
      <c r="H83" s="164"/>
      <c r="I83" s="55"/>
      <c r="J83" s="55"/>
      <c r="K83" s="55"/>
      <c r="L83" s="55"/>
      <c r="M83" s="55"/>
      <c r="N83" s="55"/>
      <c r="O83" s="55"/>
      <c r="P83" s="55"/>
      <c r="Q83" s="55"/>
      <c r="R83" s="165"/>
      <c r="S83" s="9"/>
      <c r="T83" s="9"/>
      <c r="U83" s="9"/>
    </row>
    <row r="84" spans="1:21" hidden="1" x14ac:dyDescent="0.2">
      <c r="A84" s="9"/>
      <c r="B84" s="55"/>
      <c r="C84" s="55"/>
      <c r="D84" s="55"/>
      <c r="E84" s="30"/>
      <c r="F84" s="9"/>
      <c r="G84" s="9"/>
      <c r="H84" s="164"/>
      <c r="I84" s="55"/>
      <c r="J84" s="55"/>
      <c r="K84" s="55"/>
      <c r="L84" s="55"/>
      <c r="M84" s="55"/>
      <c r="N84" s="55"/>
      <c r="O84" s="55"/>
      <c r="P84" s="55"/>
      <c r="Q84" s="55"/>
      <c r="R84" s="165"/>
      <c r="S84" s="9"/>
      <c r="T84" s="9"/>
      <c r="U84" s="9"/>
    </row>
    <row r="85" spans="1:21" hidden="1" x14ac:dyDescent="0.2">
      <c r="A85" s="9"/>
      <c r="B85" s="55"/>
      <c r="C85" s="55"/>
      <c r="D85" s="55"/>
      <c r="E85" s="30"/>
      <c r="F85" s="9"/>
      <c r="G85" s="9"/>
      <c r="H85" s="164"/>
      <c r="I85" s="55"/>
      <c r="J85" s="55"/>
      <c r="K85" s="55"/>
      <c r="L85" s="55"/>
      <c r="M85" s="55"/>
      <c r="N85" s="55"/>
      <c r="O85" s="55"/>
      <c r="P85" s="55"/>
      <c r="Q85" s="55"/>
      <c r="R85" s="165"/>
      <c r="S85" s="9"/>
      <c r="T85" s="9"/>
      <c r="U85" s="9"/>
    </row>
    <row r="86" spans="1:21" hidden="1" x14ac:dyDescent="0.2">
      <c r="A86" s="9"/>
      <c r="B86" s="55"/>
      <c r="C86" s="55"/>
      <c r="D86" s="55"/>
      <c r="E86" s="30"/>
      <c r="F86" s="9"/>
      <c r="G86" s="9"/>
      <c r="H86" s="164"/>
      <c r="I86" s="55"/>
      <c r="J86" s="55"/>
      <c r="K86" s="55"/>
      <c r="L86" s="55"/>
      <c r="M86" s="55"/>
      <c r="N86" s="55"/>
      <c r="O86" s="55"/>
      <c r="P86" s="55"/>
      <c r="Q86" s="55"/>
      <c r="R86" s="165"/>
      <c r="S86" s="9"/>
      <c r="T86" s="9"/>
      <c r="U86" s="9"/>
    </row>
    <row r="87" spans="1:21" hidden="1" x14ac:dyDescent="0.2">
      <c r="A87" s="9"/>
      <c r="B87" s="55"/>
      <c r="C87" s="55"/>
      <c r="D87" s="55"/>
      <c r="E87" s="30"/>
      <c r="F87" s="9"/>
      <c r="G87" s="9"/>
      <c r="H87" s="164"/>
      <c r="I87" s="55"/>
      <c r="J87" s="55"/>
      <c r="K87" s="55"/>
      <c r="L87" s="55"/>
      <c r="M87" s="55"/>
      <c r="N87" s="55"/>
      <c r="O87" s="55"/>
      <c r="P87" s="55"/>
      <c r="Q87" s="55"/>
      <c r="R87" s="165"/>
      <c r="S87" s="9"/>
      <c r="T87" s="9"/>
      <c r="U87" s="9"/>
    </row>
    <row r="88" spans="1:21" hidden="1" x14ac:dyDescent="0.2">
      <c r="A88" s="9"/>
      <c r="B88" s="55"/>
      <c r="C88" s="55"/>
      <c r="D88" s="55"/>
      <c r="E88" s="30"/>
      <c r="F88" s="9"/>
      <c r="G88" s="9"/>
      <c r="H88" s="164"/>
      <c r="I88" s="55"/>
      <c r="J88" s="55"/>
      <c r="K88" s="55"/>
      <c r="L88" s="55"/>
      <c r="M88" s="55"/>
      <c r="N88" s="55"/>
      <c r="O88" s="55"/>
      <c r="P88" s="55"/>
      <c r="Q88" s="55"/>
      <c r="R88" s="165"/>
      <c r="S88" s="9"/>
      <c r="T88" s="9"/>
      <c r="U88" s="9"/>
    </row>
    <row r="89" spans="1:21" hidden="1" x14ac:dyDescent="0.2">
      <c r="A89" s="9"/>
      <c r="B89" s="55"/>
      <c r="C89" s="55"/>
      <c r="D89" s="55"/>
      <c r="E89" s="30"/>
      <c r="F89" s="9"/>
      <c r="G89" s="9"/>
      <c r="H89" s="164"/>
      <c r="I89" s="55"/>
      <c r="J89" s="55"/>
      <c r="K89" s="55"/>
      <c r="L89" s="55"/>
      <c r="M89" s="55"/>
      <c r="N89" s="55"/>
      <c r="O89" s="55"/>
      <c r="P89" s="55"/>
      <c r="Q89" s="55"/>
      <c r="R89" s="165"/>
      <c r="S89" s="9"/>
      <c r="T89" s="9"/>
      <c r="U89" s="9"/>
    </row>
    <row r="90" spans="1:21" hidden="1" x14ac:dyDescent="0.2">
      <c r="A90" s="9"/>
      <c r="B90" s="55"/>
      <c r="C90" s="55"/>
      <c r="D90" s="55"/>
      <c r="E90" s="30"/>
      <c r="F90" s="9"/>
      <c r="G90" s="9"/>
      <c r="H90" s="164"/>
      <c r="I90" s="55"/>
      <c r="J90" s="55"/>
      <c r="K90" s="55"/>
      <c r="L90" s="55"/>
      <c r="M90" s="55"/>
      <c r="N90" s="55"/>
      <c r="O90" s="55"/>
      <c r="P90" s="55"/>
      <c r="Q90" s="55"/>
      <c r="R90" s="165"/>
      <c r="S90" s="9"/>
      <c r="T90" s="9"/>
      <c r="U90" s="9"/>
    </row>
    <row r="91" spans="1:21" hidden="1" x14ac:dyDescent="0.2">
      <c r="A91" s="9"/>
      <c r="B91" s="55"/>
      <c r="C91" s="55"/>
      <c r="D91" s="55"/>
      <c r="E91" s="30"/>
      <c r="F91" s="9"/>
      <c r="G91" s="9"/>
      <c r="H91" s="164"/>
      <c r="I91" s="55"/>
      <c r="J91" s="55"/>
      <c r="K91" s="55"/>
      <c r="L91" s="55"/>
      <c r="M91" s="55"/>
      <c r="N91" s="55"/>
      <c r="O91" s="55"/>
      <c r="P91" s="55"/>
      <c r="Q91" s="55"/>
      <c r="R91" s="165"/>
      <c r="S91" s="9"/>
      <c r="T91" s="9"/>
      <c r="U91" s="9"/>
    </row>
    <row r="92" spans="1:21" hidden="1" x14ac:dyDescent="0.2">
      <c r="A92" s="9"/>
      <c r="B92" s="55"/>
      <c r="C92" s="55"/>
      <c r="D92" s="55"/>
      <c r="E92" s="30"/>
      <c r="F92" s="9"/>
      <c r="G92" s="9"/>
      <c r="H92" s="164"/>
      <c r="I92" s="55"/>
      <c r="J92" s="55"/>
      <c r="K92" s="55"/>
      <c r="L92" s="55"/>
      <c r="M92" s="55"/>
      <c r="N92" s="55"/>
      <c r="O92" s="55"/>
      <c r="P92" s="55"/>
      <c r="Q92" s="55"/>
      <c r="R92" s="165"/>
      <c r="S92" s="9"/>
      <c r="T92" s="9"/>
      <c r="U92" s="9"/>
    </row>
    <row r="93" spans="1:21" hidden="1" x14ac:dyDescent="0.2">
      <c r="A93" s="9"/>
      <c r="B93" s="55"/>
      <c r="C93" s="55"/>
      <c r="D93" s="55"/>
      <c r="E93" s="30"/>
      <c r="F93" s="9"/>
      <c r="G93" s="9"/>
      <c r="H93" s="164"/>
      <c r="I93" s="55"/>
      <c r="J93" s="55"/>
      <c r="K93" s="55"/>
      <c r="L93" s="55"/>
      <c r="M93" s="55"/>
      <c r="N93" s="55"/>
      <c r="O93" s="55"/>
      <c r="P93" s="55"/>
      <c r="Q93" s="55"/>
      <c r="R93" s="165"/>
      <c r="S93" s="9"/>
      <c r="T93" s="9"/>
      <c r="U93" s="9"/>
    </row>
    <row r="94" spans="1:21" hidden="1" x14ac:dyDescent="0.2">
      <c r="A94" s="9"/>
      <c r="B94" s="55"/>
      <c r="C94" s="55"/>
      <c r="D94" s="55"/>
      <c r="E94" s="30"/>
      <c r="F94" s="9"/>
      <c r="G94" s="9"/>
      <c r="H94" s="164"/>
      <c r="I94" s="55"/>
      <c r="J94" s="55"/>
      <c r="K94" s="55"/>
      <c r="L94" s="55"/>
      <c r="M94" s="55"/>
      <c r="N94" s="55"/>
      <c r="O94" s="55"/>
      <c r="P94" s="55"/>
      <c r="Q94" s="55"/>
      <c r="R94" s="165"/>
      <c r="S94" s="9"/>
      <c r="T94" s="9"/>
      <c r="U94" s="9"/>
    </row>
    <row r="95" spans="1:21" hidden="1" x14ac:dyDescent="0.2">
      <c r="A95" s="9"/>
      <c r="B95" s="55"/>
      <c r="C95" s="55"/>
      <c r="D95" s="55"/>
      <c r="E95" s="30"/>
      <c r="F95" s="9"/>
      <c r="G95" s="9"/>
      <c r="H95" s="164"/>
      <c r="I95" s="55"/>
      <c r="J95" s="55"/>
      <c r="K95" s="55"/>
      <c r="L95" s="55"/>
      <c r="M95" s="55"/>
      <c r="N95" s="55"/>
      <c r="O95" s="55"/>
      <c r="P95" s="55"/>
      <c r="Q95" s="55"/>
      <c r="R95" s="165"/>
      <c r="S95" s="9"/>
      <c r="T95" s="9"/>
      <c r="U95" s="9"/>
    </row>
    <row r="96" spans="1:21" hidden="1" x14ac:dyDescent="0.2">
      <c r="A96" s="9"/>
      <c r="B96" s="55"/>
      <c r="C96" s="55"/>
      <c r="D96" s="55"/>
      <c r="E96" s="30"/>
      <c r="F96" s="9"/>
      <c r="G96" s="9"/>
      <c r="H96" s="164"/>
      <c r="I96" s="55"/>
      <c r="J96" s="55"/>
      <c r="K96" s="55"/>
      <c r="L96" s="55"/>
      <c r="M96" s="55"/>
      <c r="N96" s="55"/>
      <c r="O96" s="55"/>
      <c r="P96" s="55"/>
      <c r="Q96" s="55"/>
      <c r="R96" s="165"/>
      <c r="S96" s="9"/>
      <c r="T96" s="9"/>
      <c r="U96" s="9"/>
    </row>
    <row r="97" spans="1:21" hidden="1" x14ac:dyDescent="0.2">
      <c r="A97" s="9"/>
      <c r="B97" s="55"/>
      <c r="C97" s="55"/>
      <c r="D97" s="55"/>
      <c r="E97" s="30"/>
      <c r="F97" s="9"/>
      <c r="G97" s="9"/>
      <c r="H97" s="164"/>
      <c r="I97" s="55"/>
      <c r="J97" s="55"/>
      <c r="K97" s="55"/>
      <c r="L97" s="55"/>
      <c r="M97" s="55"/>
      <c r="N97" s="55"/>
      <c r="O97" s="55"/>
      <c r="P97" s="55"/>
      <c r="Q97" s="55"/>
      <c r="R97" s="165"/>
      <c r="S97" s="9"/>
      <c r="T97" s="9"/>
      <c r="U97" s="9"/>
    </row>
    <row r="98" spans="1:21" hidden="1" x14ac:dyDescent="0.2">
      <c r="A98" s="9"/>
      <c r="B98" s="55"/>
      <c r="C98" s="55"/>
      <c r="D98" s="55"/>
      <c r="E98" s="30"/>
      <c r="F98" s="9"/>
      <c r="G98" s="9"/>
      <c r="H98" s="164"/>
      <c r="I98" s="55"/>
      <c r="J98" s="55"/>
      <c r="K98" s="55"/>
      <c r="L98" s="55"/>
      <c r="M98" s="55"/>
      <c r="N98" s="55"/>
      <c r="O98" s="55"/>
      <c r="P98" s="55"/>
      <c r="Q98" s="55"/>
      <c r="R98" s="165"/>
      <c r="S98" s="9"/>
      <c r="T98" s="9"/>
      <c r="U98" s="9"/>
    </row>
    <row r="99" spans="1:21" hidden="1" x14ac:dyDescent="0.2">
      <c r="A99" s="9"/>
      <c r="B99" s="55"/>
      <c r="C99" s="55"/>
      <c r="D99" s="55"/>
      <c r="E99" s="30"/>
      <c r="F99" s="9"/>
      <c r="G99" s="9"/>
      <c r="H99" s="164"/>
      <c r="I99" s="55"/>
      <c r="J99" s="55"/>
      <c r="K99" s="55"/>
      <c r="L99" s="55"/>
      <c r="M99" s="55"/>
      <c r="N99" s="55"/>
      <c r="O99" s="55"/>
      <c r="P99" s="55"/>
      <c r="Q99" s="55"/>
      <c r="R99" s="165"/>
      <c r="S99" s="9"/>
      <c r="T99" s="9"/>
      <c r="U99" s="9"/>
    </row>
    <row r="100" spans="1:21" hidden="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hidden="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hidden="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hidden="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hidden="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hidden="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hidden="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hidden="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hidden="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hidden="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hidden="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hidden="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hidden="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hidden="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hidden="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hidden="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hidden="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hidden="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hidden="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hidden="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hidden="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hidden="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hidden="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hidden="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hidden="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hidden="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hidden="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hidden="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hidden="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hidden="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hidden="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hidden="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hidden="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hidden="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hidden="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hidden="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hidden="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hidden="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hidden="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hidden="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hidden="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hidden="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hidden="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hidden="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hidden="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hidden="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hidden="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hidden="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hidden="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hidden="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hidden="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hidden="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hidden="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hidden="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hidden="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hidden="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hidden="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hidden="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hidden="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hidden="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hidden="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hidden="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hidden="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hidden="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hidden="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hidden="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hidden="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hidden="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hidden="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hidden="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hidden="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hidden="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hidden="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hidden="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hidden="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hidden="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hidden="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hidden="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hidden="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hidden="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hidden="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hidden="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hidden="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hidden="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hidden="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hidden="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hidden="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hidden="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hidden="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hidden="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hidden="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hidden="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hidden="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hidden="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hidden="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hidden="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hidden="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hidden="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hidden="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hidden="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hidden="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hidden="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hidden="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hidden="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hidden="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hidden="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hidden="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hidden="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hidden="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hidden="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hidden="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hidden="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hidden="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hidden="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hidden="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hidden="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hidden="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hidden="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hidden="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hidden="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hidden="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hidden="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hidden="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hidden="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hidden="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hidden="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hidden="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hidden="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hidden="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hidden="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hidden="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hidden="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hidden="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hidden="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hidden="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hidden="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hidden="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hidden="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hidden="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hidden="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hidden="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hidden="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hidden="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hidden="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hidden="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hidden="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hidden="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hidden="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hidden="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hidden="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hidden="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hidden="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hidden="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hidden="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hidden="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hidden="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hidden="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hidden="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hidden="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hidden="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hidden="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hidden="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hidden="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hidden="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hidden="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hidden="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hidden="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hidden="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hidden="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hidden="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hidden="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hidden="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hidden="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hidden="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hidden="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hidden="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hidden="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hidden="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hidden="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hidden="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hidden="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hidden="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hidden="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hidden="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hidden="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hidden="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hidden="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hidden="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hidden="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hidden="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hidden="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hidden="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hidden="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hidden="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hidden="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hidden="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hidden="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hidden="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hidden="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hidden="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hidden="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hidden="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hidden="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hidden="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hidden="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hidden="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hidden="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hidden="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hidden="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hidden="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hidden="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hidden="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hidden="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hidden="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hidden="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hidden="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hidden="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hidden="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hidden="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hidden="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hidden="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hidden="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hidden="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hidden="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hidden="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hidden="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hidden="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hidden="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hidden="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hidden="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hidden="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hidden="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hidden="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hidden="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hidden="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hidden="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hidden="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hidden="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hidden="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hidden="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hidden="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hidden="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hidden="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hidden="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hidden="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hidden="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hidden="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hidden="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hidden="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hidden="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hidden="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hidden="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hidden="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hidden="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hidden="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hidden="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hidden="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hidden="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hidden="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hidden="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hidden="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hidden="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hidden="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hidden="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hidden="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hidden="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hidden="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hidden="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hidden="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hidden="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hidden="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hidden="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hidden="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hidden="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hidden="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hidden="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hidden="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hidden="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hidden="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hidden="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hidden="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hidden="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hidden="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hidden="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hidden="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hidden="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hidden="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hidden="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hidden="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hidden="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hidden="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hidden="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hidden="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hidden="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hidden="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hidden="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hidden="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hidden="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hidden="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hidden="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hidden="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hidden="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hidden="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hidden="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hidden="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hidden="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hidden="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hidden="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hidden="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hidden="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hidden="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hidden="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hidden="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hidden="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hidden="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hidden="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hidden="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hidden="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hidden="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hidden="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hidden="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hidden="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hidden="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hidden="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hidden="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hidden="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hidden="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hidden="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hidden="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hidden="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hidden="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hidden="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hidden="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hidden="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hidden="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hidden="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hidden="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hidden="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hidden="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hidden="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hidden="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hidden="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hidden="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hidden="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hidden="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hidden="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hidden="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hidden="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hidden="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hidden="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hidden="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hidden="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hidden="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hidden="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hidden="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hidden="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hidden="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hidden="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hidden="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hidden="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hidden="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hidden="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hidden="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hidden="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hidden="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hidden="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hidden="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hidden="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hidden="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hidden="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hidden="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hidden="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hidden="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hidden="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hidden="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hidden="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hidden="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hidden="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hidden="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hidden="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hidden="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hidden="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hidden="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hidden="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hidden="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hidden="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hidden="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hidden="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hidden="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hidden="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hidden="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hidden="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hidden="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hidden="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hidden="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hidden="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hidden="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hidden="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hidden="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hidden="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hidden="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hidden="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hidden="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hidden="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hidden="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hidden="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hidden="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hidden="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hidden="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hidden="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hidden="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hidden="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hidden="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hidden="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hidden="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hidden="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hidden="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hidden="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hidden="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hidden="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hidden="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hidden="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hidden="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hidden="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hidden="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hidden="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hidden="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hidden="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hidden="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hidden="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hidden="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hidden="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hidden="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hidden="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hidden="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hidden="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hidden="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hidden="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hidden="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hidden="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hidden="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hidden="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hidden="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hidden="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hidden="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hidden="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hidden="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hidden="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hidden="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hidden="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hidden="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hidden="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hidden="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hidden="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hidden="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hidden="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hidden="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hidden="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hidden="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hidden="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hidden="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hidden="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hidden="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hidden="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hidden="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hidden="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hidden="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hidden="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hidden="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hidden="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hidden="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hidden="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hidden="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hidden="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hidden="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hidden="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hidden="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hidden="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hidden="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hidden="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hidden="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hidden="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hidden="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hidden="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hidden="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hidden="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hidden="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hidden="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hidden="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hidden="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hidden="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hidden="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hidden="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hidden="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hidden="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hidden="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hidden="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hidden="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hidden="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hidden="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hidden="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hidden="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hidden="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hidden="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hidden="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hidden="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hidden="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hidden="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hidden="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hidden="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hidden="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hidden="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hidden="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hidden="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hidden="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hidden="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hidden="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hidden="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hidden="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hidden="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hidden="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hidden="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hidden="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hidden="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hidden="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hidden="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hidden="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hidden="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hidden="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hidden="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hidden="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hidden="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hidden="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hidden="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hidden="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hidden="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hidden="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hidden="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hidden="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hidden="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hidden="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hidden="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hidden="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hidden="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hidden="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hidden="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hidden="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hidden="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hidden="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hidden="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hidden="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hidden="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hidden="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hidden="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hidden="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hidden="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hidden="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hidden="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hidden="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hidden="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hidden="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hidden="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hidden="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hidden="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hidden="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hidden="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hidden="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hidden="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hidden="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hidden="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hidden="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hidden="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hidden="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hidden="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hidden="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hidden="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hidden="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hidden="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hidden="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hidden="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hidden="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hidden="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hidden="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hidden="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hidden="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hidden="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hidden="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hidden="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hidden="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hidden="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hidden="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hidden="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hidden="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hidden="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hidden="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hidden="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hidden="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hidden="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hidden="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hidden="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hidden="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hidden="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hidden="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hidden="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hidden="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hidden="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hidden="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hidden="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hidden="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hidden="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hidden="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hidden="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hidden="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hidden="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hidden="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hidden="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hidden="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hidden="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hidden="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hidden="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hidden="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hidden="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hidden="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hidden="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hidden="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hidden="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hidden="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hidden="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hidden="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hidden="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hidden="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hidden="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hidden="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hidden="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hidden="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hidden="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hidden="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hidden="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hidden="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hidden="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hidden="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hidden="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hidden="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hidden="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hidden="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hidden="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hidden="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hidden="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hidden="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hidden="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hidden="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hidden="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hidden="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hidden="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hidden="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hidden="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hidden="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hidden="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hidden="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hidden="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hidden="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hidden="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hidden="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hidden="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hidden="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hidden="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hidden="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hidden="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hidden="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hidden="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hidden="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hidden="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hidden="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hidden="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hidden="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hidden="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hidden="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hidden="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hidden="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hidden="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hidden="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hidden="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hidden="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hidden="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hidden="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hidden="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hidden="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hidden="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hidden="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hidden="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hidden="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hidden="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hidden="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hidden="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hidden="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hidden="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hidden="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hidden="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hidden="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hidden="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hidden="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hidden="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hidden="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hidden="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hidden="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hidden="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hidden="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hidden="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hidden="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hidden="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hidden="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hidden="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hidden="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hidden="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hidden="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hidden="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hidden="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hidden="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hidden="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hidden="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hidden="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hidden="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hidden="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hidden="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hidden="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hidden="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hidden="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hidden="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hidden="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hidden="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hidden="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hidden="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hidden="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hidden="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hidden="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hidden="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hidden="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hidden="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hidden="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hidden="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hidden="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hidden="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hidden="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hidden="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hidden="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hidden="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hidden="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hidden="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hidden="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hidden="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hidden="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hidden="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hidden="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hidden="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hidden="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hidden="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hidden="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hidden="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hidden="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hidden="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hidden="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hidden="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hidden="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hidden="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hidden="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hidden="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hidden="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hidden="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hidden="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hidden="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hidden="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hidden="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hidden="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hidden="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hidden="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hidden="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hidden="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hidden="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hidden="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hidden="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hidden="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hidden="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hidden="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hidden="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hidden="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hidden="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hidden="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hidden="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hidden="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hidden="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hidden="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hidden="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hidden="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hidden="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hidden="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hidden="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hidden="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hidden="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hidden="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hidden="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hidden="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hidden="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hidden="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hidden="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hidden="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hidden="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hidden="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hidden="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hidden="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hidden="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hidden="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hidden="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hidden="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hidden="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hidden="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hidden="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hidden="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hidden="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hidden="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hidden="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hidden="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hidden="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hidden="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hidden="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hidden="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hidden="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hidden="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hidden="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hidden="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hidden="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hidden="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hidden="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hidden="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hidden="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hidden="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hidden="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hidden="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hidden="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hidden="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hidden="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hidden="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hidden="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hidden="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hidden="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hidden="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hidden="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hidden="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hidden="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hidden="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hidden="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hidden="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hidden="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hidden="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hidden="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hidden="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hidden="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hidden="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hidden="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hidden="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hidden="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hidden="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hidden="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hidden="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hidden="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hidden="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hidden="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hidden="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hidden="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hidden="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hidden="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hidden="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hidden="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hidden="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hidden="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hidden="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hidden="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hidden="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hidden="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hidden="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hidden="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hidden="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hidden="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hidden="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hidden="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hidden="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hidden="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hidden="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hidden="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hidden="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hidden="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hidden="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hidden="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hidden="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hidden="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hidden="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hidden="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hidden="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hidden="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hidden="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hidden="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hidden="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hidden="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autoFilter ref="S1:S1001" xr:uid="{00000000-0001-0000-0000-000000000000}">
    <filterColumn colId="0">
      <filters>
        <filter val="$MethodDefinition.schema:instrument.schema:hasPart[]"/>
        <filter val="$MethodDefinition.schema:instrument.schema:manufacturer.schema:Organization.schema:name"/>
        <filter val="$MethodDefinition.schema:instrument.schema:model.schema:name"/>
      </filters>
    </filterColumn>
  </autoFilter>
  <mergeCells count="6">
    <mergeCell ref="A58:E58"/>
    <mergeCell ref="A12:E12"/>
    <mergeCell ref="A2:E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2026-04-28T17:33:38Z</dcterms:modified>
  <dc:language>en-US</dc:language>
</cp:coreProperties>
</file>
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23" documentId="11_801D42FA505F684EE3031036515DCE3AB7CF2196" xr6:coauthVersionLast="47" xr6:coauthVersionMax="47" xr10:uidLastSave="{7BB69C81-435F-4FFE-A2F3-05FD92DFA11D}"/>
  <bookViews>
    <workbookView xWindow="0" yWindow="2670" windowWidth="28800" windowHeight="1461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68" i="1" l="1"/>
  <c r="AO67" i="1"/>
  <c r="AO66" i="1"/>
  <c r="AO65" i="1"/>
  <c r="AO64" i="1"/>
  <c r="AO63" i="1"/>
  <c r="AO62" i="1"/>
  <c r="AO61" i="1"/>
  <c r="AO60" i="1"/>
  <c r="AO59" i="1"/>
  <c r="AO56" i="1"/>
  <c r="AO55" i="1"/>
  <c r="AO54" i="1"/>
  <c r="AO53" i="1"/>
  <c r="AO52" i="1"/>
  <c r="AO51" i="1"/>
  <c r="AO50" i="1"/>
  <c r="AO49" i="1"/>
  <c r="AO48" i="1"/>
  <c r="AO47" i="1"/>
  <c r="AO46" i="1"/>
  <c r="AO43" i="1"/>
  <c r="AO42" i="1"/>
  <c r="AO41" i="1"/>
  <c r="AO40" i="1"/>
  <c r="AO39" i="1"/>
  <c r="AO38" i="1"/>
  <c r="AO37" i="1"/>
  <c r="AO36" i="1"/>
  <c r="AO35" i="1"/>
  <c r="AO34" i="1"/>
  <c r="AO33" i="1"/>
  <c r="AO32" i="1"/>
  <c r="AO31" i="1"/>
  <c r="AO30" i="1"/>
  <c r="AO29" i="1"/>
  <c r="AO28" i="1"/>
  <c r="AO27" i="1"/>
  <c r="AO26" i="1"/>
  <c r="AO23" i="1"/>
  <c r="AO22" i="1"/>
  <c r="AO21" i="1"/>
  <c r="AO20" i="1"/>
  <c r="AO19" i="1"/>
  <c r="AO18" i="1"/>
  <c r="AO17" i="1"/>
  <c r="AO14" i="1"/>
  <c r="AO13" i="1"/>
  <c r="AO10" i="1"/>
  <c r="AO9" i="1"/>
  <c r="AO8" i="1"/>
  <c r="AO7" i="1"/>
  <c r="AO6" i="1"/>
  <c r="AO5" i="1"/>
  <c r="AO4" i="1"/>
  <c r="AO3" i="1"/>
</calcChain>
</file>

<file path=xl/sharedStrings.xml><?xml version="1.0" encoding="utf-8"?>
<sst xmlns="http://schemas.openxmlformats.org/spreadsheetml/2006/main" count="1217" uniqueCount="587">
  <si>
    <t>Metadata Item</t>
  </si>
  <si>
    <t>Description / Purpose</t>
  </si>
  <si>
    <t>Basic/Advanced</t>
  </si>
  <si>
    <t>Data Type</t>
  </si>
  <si>
    <t>Example/Allowed Content</t>
  </si>
  <si>
    <t>Last update: 04/25/2026</t>
  </si>
  <si>
    <t>P0: synthetic Example| 2026
(Richard and Deng| 2026 )</t>
  </si>
  <si>
    <t>P0-interp</t>
  </si>
  <si>
    <t>P1: Chi et al. 2015
(Tissintite, EPSL)</t>
  </si>
  <si>
    <t>P1-interp</t>
  </si>
  <si>
    <t>P2: Hu et al. 2020
(Coesite NWA8657, GCA)</t>
  </si>
  <si>
    <t>P2-interp</t>
  </si>
  <si>
    <t>P3sil: Liu et al. 2016
(Tissint mineral chem., MAPS)</t>
  </si>
  <si>
    <t>P3sil-interp</t>
  </si>
  <si>
    <t>P3phos: Liu et al. 2016
(Tissint mineral chem., MAPS)</t>
  </si>
  <si>
    <t>P3phos-interp</t>
  </si>
  <si>
    <t>P4: Ma et al. 2017
(Liebermannite, MAPS)</t>
  </si>
  <si>
    <t>P4-interp</t>
  </si>
  <si>
    <t>P5: Frank et al. 2023
(Ivuna CAI, MAPS)</t>
  </si>
  <si>
    <t>P5-interp</t>
  </si>
  <si>
    <t>P6: Broussard et al. 2026
(OC002 CI chondrite, MAPS)</t>
  </si>
  <si>
    <t>P6-interp</t>
  </si>
  <si>
    <t>P7: Seifert et al. 2026
(Bennu apatite, MAPS)</t>
  </si>
  <si>
    <t>P7-interp</t>
  </si>
  <si>
    <t>P8sil: Zega et al. 2025
(Bennu mineralogy, Nat. Geosci.)</t>
  </si>
  <si>
    <t>P8sil-interp</t>
  </si>
  <si>
    <t>P8carb: Zega et al. 2025
(Bennu mineralogy, Nat. Geosci.)</t>
  </si>
  <si>
    <t>P8carb-interp</t>
  </si>
  <si>
    <t>P8phos: Zega et al. 2025
(Bennu mineralogy, Nat. Geosci.)</t>
  </si>
  <si>
    <t>P8phos-interp</t>
  </si>
  <si>
    <t>P9sil: McCoy et al. 2025
(Bennu evaporites, Nature)</t>
  </si>
  <si>
    <t>P9sil-interp</t>
  </si>
  <si>
    <t>P9carb: McCoy et al. 2025
(Bennu evaporites, Nature)</t>
  </si>
  <si>
    <t>P9carb-interp</t>
  </si>
  <si>
    <t>P9phos: McCoy et al. 2025
(Bennu evaporites, Nature)</t>
  </si>
  <si>
    <t>P9phos-interp</t>
  </si>
  <si>
    <t>P10: Pang et al. 2016
(NWA 8003 eucrite, Sci. Rep.)</t>
  </si>
  <si>
    <t>P10-interp</t>
  </si>
  <si>
    <t>P10plag: Pang et al. 2016
(NWA 8003 eucrite, Sci. Rep.)</t>
  </si>
  <si>
    <t>P10plag-interp</t>
  </si>
  <si>
    <t>Level of Completeness</t>
  </si>
  <si>
    <t>CDIF-geochem schema path</t>
  </si>
  <si>
    <t>matchComment</t>
  </si>
  <si>
    <t>implementation notes</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</si>
  <si>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</si>
  <si>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</si>
  <si>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</si>
  <si>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</si>
  <si>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</si>
  <si>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</si>
  <si>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silicate and oxide| all properties</t>
  </si>
  <si>
    <t>EPMA-WDS major/minor element minerals</t>
  </si>
  <si>
    <t>EPMA-WDS major/minor element minerals and glass</t>
  </si>
  <si>
    <t>EPMA-WDS silicates/oxides</t>
  </si>
  <si>
    <t>EPMA-WDS maskelynite, phosphate, sulfide, glass</t>
  </si>
  <si>
    <t>EMPA major element apatite (phosphate)</t>
  </si>
  <si>
    <t>EMPA Bennu silicates, sulfides, oxides</t>
  </si>
  <si>
    <t>EMPA Bennu carbonates</t>
  </si>
  <si>
    <t>EMPA Bennu  phosphates</t>
  </si>
  <si>
    <t>EMPA Bennu evap  silicates, oxides</t>
  </si>
  <si>
    <t>EMPA Bennu evap carbonates</t>
  </si>
  <si>
    <t>EMPA Bennu evap phosphates</t>
  </si>
  <si>
    <t>EPMA-WDS eucrite major/minor element minerals</t>
  </si>
  <si>
    <t>EPMA-WDS eucrite  plagioclase and polymorphs</t>
  </si>
  <si>
    <t>$MethodDefinition.schema:name</t>
  </si>
  <si>
    <t>match. methodDefinition.schema:name is the short descriptive name for the method.</t>
  </si>
  <si>
    <t>Technique</t>
  </si>
  <si>
    <t>Top-level analytical technique identifier.</t>
  </si>
  <si>
    <t>Controlled list</t>
  </si>
  <si>
    <t>EPMA-WDS | EPMA-EDS | EPMA-WDS+EDS | Others: specify</t>
  </si>
  <si>
    <t>EPMA-WDS</t>
  </si>
  <si>
    <t>$MethodDefinition.schema:measurementTechnique.schema:DefinedTerm.schema:name</t>
  </si>
  <si>
    <t>match. methodDefinition.schema:measurementTechnique is a DefinedTerm; use .schema:termCode for the controlled-list code (EPMA-WDS etc.).</t>
  </si>
  <si>
    <t>schema:DefinedTerm.schema:termCode
datatype: enum {EPMA-WDS | EPMA-EDS | EPMA-WDS+EDS | other}</t>
  </si>
  <si>
    <t>Method Author</t>
  </si>
  <si>
    <t>Author of the method</t>
  </si>
  <si>
    <t>Can be human names or lab names</t>
  </si>
  <si>
    <t>Richard| S.M. ORCID:0000-0001-6041-5302; Deng| Ruolin ORCID:0000-0001-5383-3039</t>
  </si>
  <si>
    <t>Chi Ma et al.</t>
  </si>
  <si>
    <t>Sen Hu et al.</t>
  </si>
  <si>
    <t>Yang Liu et al.</t>
  </si>
  <si>
    <t>David Frank et al.</t>
  </si>
  <si>
    <t>Broussard et al.</t>
  </si>
  <si>
    <t>Seifert et al.</t>
  </si>
  <si>
    <t>Zega et al.</t>
  </si>
  <si>
    <t>McCoy et al.</t>
  </si>
  <si>
    <t>Pang et al.</t>
  </si>
  <si>
    <t>$MethodDefinition.schema:creator.schema:Person | schema.Organization.schema:name</t>
  </si>
  <si>
    <t>match. schema:creator is a Person or Organization; schema:name carries the author name (plus schema:identifier for ORCID).</t>
  </si>
  <si>
    <t>Laboratory</t>
  </si>
  <si>
    <t>Name of the lab or institution hosting the instrument.</t>
  </si>
  <si>
    <t>"Columbia University"</t>
  </si>
  <si>
    <t>IEDA| 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</si>
  <si>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</si>
  <si>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</si>
  <si>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</si>
  <si>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</si>
  <si>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</si>
  <si>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</si>
  <si>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</si>
  <si>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</si>
  <si>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</si>
  <si>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$MethodDefinition.schema:location.scheme:Place.schema:name</t>
  </si>
  <si>
    <t>match. ada:laboratory extends spatialExtent (schema:Place); schema:name is the lab/facility name.</t>
  </si>
  <si>
    <t>Laboratory ID</t>
  </si>
  <si>
    <t>Persistent identifier for the laboratory, e.g., ROR ID.</t>
  </si>
  <si>
    <t>Advanced</t>
  </si>
  <si>
    <t>URI</t>
  </si>
  <si>
    <t>ROR ID or equivalent URI</t>
  </si>
  <si>
    <t>https://ror.org/02fjjnc15</t>
  </si>
  <si>
    <t>$MethodDefinition.schema:location.scheme:Place.schema:identifier</t>
  </si>
  <si>
    <t>match. schema:Place schema:identifier (ROR or other PID) on ada:laboratory.</t>
  </si>
  <si>
    <t>Method Start Date</t>
  </si>
  <si>
    <t>First date this method configuration was used in production.</t>
  </si>
  <si>
    <t>Date</t>
  </si>
  <si>
    <t>$MethodDefinition.schema:datePublished</t>
  </si>
  <si>
    <t>match. methodDefinition.schema:datePublished is explicitly described as 'ISO 8601 date when this method configuration was first used'.</t>
  </si>
  <si>
    <t>Funding Source</t>
  </si>
  <si>
    <t>Grants and funding that supported the method development.</t>
  </si>
  <si>
    <t>include grant IDs, e.g., 'NSF EAR-1234567'. Can also report "None"</t>
  </si>
  <si>
    <t>NSF EAR-1234567</t>
  </si>
  <si>
    <t>$MethodDefinition.schema:funding[].schema:MonetaryGrant.schema:name</t>
  </si>
  <si>
    <t>match. schema:funding[] is an array of MonetaryGrant; also has schema:identifier (award number) and schema:funder (organisation).</t>
  </si>
  <si>
    <t>put text in MonetaryGrant name unless can clearly parse identifier distinct from name.</t>
  </si>
  <si>
    <t>Method Reference(s)</t>
  </si>
  <si>
    <t>DOI or URL for publications or reports describing or evaluating this method.</t>
  </si>
  <si>
    <t>URI / DOI</t>
  </si>
  <si>
    <t>DOI or URL list</t>
  </si>
  <si>
    <t>https://example.org/EMPA/WDS</t>
  </si>
  <si>
    <t>$MethodDefinition.schema:relatedLink[].schema:url</t>
  </si>
  <si>
    <t>match. schema:relatedLink[] is a labeledLink with schema:url and schema:name; fits DOIs/URLs of method publications.</t>
  </si>
  <si>
    <t>2. Samples</t>
  </si>
  <si>
    <t>Target Material</t>
  </si>
  <si>
    <t>General description of the material(s) analysed (mineral phase, glass, metal, oxide).</t>
  </si>
  <si>
    <t>Controlled list / Text</t>
  </si>
  <si>
    <t>e.g., Silicate glass | Feldspar | Pyroxene | Olivine | Oxide | Sulfide | Metal alloy | Other</t>
  </si>
  <si>
    <t xml:space="preserve">Feldspar| Pyroxene| Olivine </t>
  </si>
  <si>
    <t>Silicate minerals (tissintite, maskelynite, pigeonite, fayalite)</t>
  </si>
  <si>
    <t>Maskelynite, 
melt inclusion glasses, 
silica glass, 
coesite aggregates, 
mesostasis</t>
  </si>
  <si>
    <t>Olivine, pyroxene, Fe-Ti-Cr oxides</t>
  </si>
  <si>
    <t>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</si>
  <si>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</si>
  <si>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</si>
  <si>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</si>
  <si>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</si>
  <si>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 xml:space="preserve">Sheet silicates (serpentine, saponite), sulfides (pyrrhotite, pentlandite), magnetite, </t>
  </si>
  <si>
    <t xml:space="preserve"> carbonates (calcite, dolomite, magnesite)</t>
  </si>
  <si>
    <t>phosphates</t>
  </si>
  <si>
    <t>Sheet silicates, pyrrhotite, pentlandite, magnetite</t>
  </si>
  <si>
    <t>calcite, dolomite, magnesite, Na carbonate</t>
  </si>
  <si>
    <t xml:space="preserve"> Mg Phosphate, Na phosphate</t>
  </si>
  <si>
    <t>orthopyroxene, augite,  maskelynite, garnet, clinopyroxene, silica phases</t>
  </si>
  <si>
    <t>plagioclase,  tissintite</t>
  </si>
  <si>
    <t>$MethodDefinition.schema:object[].schema:DefinedTerm.schema.name</t>
  </si>
  <si>
    <t>match. schema:object[] is an array of DefinedTerm or string describing target material (mineral phase, glass, oxide, etc.).</t>
  </si>
  <si>
    <t>Sample Preparation Method</t>
  </si>
  <si>
    <t>Description of how samples were prepared for analysis (polishing, mounting, etc.).</t>
  </si>
  <si>
    <t>e.g., 'Polished thin section, carbon-coated' | '25 mm epoxy mount, polished to 0.25 µm diamond, 20 nm C coat'</t>
  </si>
  <si>
    <t>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</si>
  <si>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</si>
  <si>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</si>
  <si>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</si>
  <si>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</si>
  <si>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</si>
  <si>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</si>
  <si>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</si>
  <si>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</si>
  <si>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</si>
  <si>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</si>
  <si>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$MethodDefinition.schema:actionProcess.schema:step[].schema:description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</si>
  <si>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</si>
  <si>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schema:description
  readOnly: true</t>
  </si>
  <si>
    <t>3. Instrument &amp; Software</t>
  </si>
  <si>
    <t>Instrument Manufacturer</t>
  </si>
  <si>
    <t>Make of the EPMA instrument.</t>
  </si>
  <si>
    <t>JEOL | Cameca | Other: Specify | Unknown</t>
  </si>
  <si>
    <t>Cameca</t>
  </si>
  <si>
    <t>JEOL</t>
  </si>
  <si>
    <t>Cameca; JEOL</t>
  </si>
  <si>
    <t>JEOL; Cameca</t>
  </si>
  <si>
    <t>$MethodDefinition.schema:instrument.schema:manufacturer.schema:Organization.schema:name</t>
  </si>
  <si>
    <t>match. CDIF instrument inherits schema.org Product's schema:manufacturer.</t>
  </si>
  <si>
    <t>Instrument Model</t>
  </si>
  <si>
    <t>Model of the EPMA instrument.</t>
  </si>
  <si>
    <t>JXA-8530F Plus | JXA-8230 | SX100 | SXFiveTactis | SXFive | iHP200F | Other | Unknown</t>
  </si>
  <si>
    <t xml:space="preserve"> SXFiveFE </t>
  </si>
  <si>
    <t>JXA-8200</t>
  </si>
  <si>
    <t>JXA-8100</t>
  </si>
  <si>
    <t>SX100 (Univ. Tennessee); JXA-8200 (Caltech)</t>
  </si>
  <si>
    <t>SX100</t>
  </si>
  <si>
    <t>JEOL 8530 EMPA (Field Emission)</t>
  </si>
  <si>
    <t>Cameca SX-100 Ultra (U of Arizona); JEOL 7600F SEM with WDS (JSC)</t>
  </si>
  <si>
    <t>JEOL 8530 F+ Hyperprobe FEG (Smithsonian)</t>
  </si>
  <si>
    <t xml:space="preserve"> Cameca SX-100 (U of Arizona)</t>
  </si>
  <si>
    <t>Cameca SX-100 (U of Arizona)</t>
  </si>
  <si>
    <t>JEOL 8100</t>
  </si>
  <si>
    <t>$MethodDefinition.schema:instrument.schema:model.schema:name</t>
  </si>
  <si>
    <t>match. CDIF instrument inherits schema.org Product's schema:model.</t>
  </si>
  <si>
    <t>Electron Source</t>
  </si>
  <si>
    <t>Type of electron gun used in the EPMA instrument.</t>
  </si>
  <si>
    <t>Field Emission (FEG) | LaB6/CeB6 | Tungsten (W) | Other | Unknown</t>
  </si>
  <si>
    <t>Field Emission (FEG)</t>
  </si>
  <si>
    <t>$MethodDefinition.schema:instrument.schema:hasPart[].additionalType = 'ElectronSource'</t>
  </si>
  <si>
    <t>match. Electron source/gun modelled as a sub-component of the instrument via schema:hasPart[]; classify the part via schema:additionalType (e.g. 'ElectronGun:FEG') and carry the label in schema:name.</t>
  </si>
  <si>
    <t>Analytical Software</t>
  </si>
  <si>
    <t>Data acquisition and automation software with version number.</t>
  </si>
  <si>
    <t>e.g., 'Probe for EPMA v12.9.5' | 'JEOL PC-EPMA' | 'Cameca PeakSight 6.2'</t>
  </si>
  <si>
    <t>Probe for EPMA v12.9.5</t>
  </si>
  <si>
    <t>Probe for EPMA</t>
  </si>
  <si>
    <t>XMapTools (for phase maps)</t>
  </si>
  <si>
    <t>$MethodDefinition.bios:computationalTool[]</t>
  </si>
  <si>
    <t>match. bios:computationalTool[] with ada:toolRole='acquisition' captures the acquisition/automation software; schema:name, schema:version, and schema:url are siblings.</t>
  </si>
  <si>
    <t>toolRole = acquisition</t>
  </si>
  <si>
    <t>Data Reduction Software</t>
  </si>
  <si>
    <t>Software used for matrix correction and data reduction, if separate from acquisition software.</t>
  </si>
  <si>
    <t>Text / Controlled list</t>
  </si>
  <si>
    <t>Probe for EPMA | JEOL PC-EPMA | Cameca PeakSight | CalcZAF | Other</t>
  </si>
  <si>
    <t>Cameca PeakSight| CalcZAF</t>
  </si>
  <si>
    <t>CITZAF correction procedure (Armstrong, 1995)</t>
  </si>
  <si>
    <t>CITZAF (Armstrong, 1995); CalcImage; Quantitative Microanalysis Explorer</t>
  </si>
  <si>
    <t>XMapTools; ZAF correction</t>
  </si>
  <si>
    <t>ZAF correction procedure</t>
  </si>
  <si>
    <t>match. Same container as row 20 with ada:toolRole='reduction' for matrix-correction/data-reduction software.</t>
  </si>
  <si>
    <t>toolRole = data reduction</t>
  </si>
  <si>
    <t>WDS Spectrometer Configuration</t>
  </si>
  <si>
    <t>Number, type, and arrangement of WDS spectrometers; for third-party WDS on SEM, include manufacturer and model.</t>
  </si>
  <si>
    <t>e.g., '5 Rowland-circle spectrometers, JEOL WDS on JEOL EPMA'</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</si>
  <si>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</si>
  <si>
    <t>5 wavelength-dispersive spectrometers</t>
  </si>
  <si>
    <t>$MethodDefinition.schema:instrument.schema:hasPart[].additionalType = 'wdsSpectrometer'</t>
  </si>
  <si>
    <t>Match as sub-components. Each WDS spectrometer is a hasPart entry (schema:name, schema:additionalType for crystal type, schema:description for arrangement).</t>
  </si>
  <si>
    <t>schema:additional type = 'WDS spectrometer'</t>
  </si>
  <si>
    <t>EDS Detector Configuration</t>
  </si>
  <si>
    <t>EDS detector type, manufacturer, window type, pulse-processor setting, and detector position.</t>
  </si>
  <si>
    <t>e.g., 'Oxford Ultim Max 100, SDD, polymer window, 100 mm², 35 mm at 35°'</t>
  </si>
  <si>
    <t>JEOL (e2v/Gresham) silicon-drift EDS spectrometer</t>
  </si>
  <si>
    <t>$MethodDefinition.schema:instrument.schema:hasPart[].additionalType = 'edsDetector'</t>
  </si>
  <si>
    <t>Match as sub-component. EDS detector as a hasPart with schema:manufacturer, schema:model, and schema:description capturing window type, pulse-processor, detector area.</t>
  </si>
  <si>
    <t>schema:additional type = 'EDS detector'</t>
  </si>
  <si>
    <t>4. Measurement Information</t>
  </si>
  <si>
    <t>Beam Mode</t>
  </si>
  <si>
    <t>Whether the beam was focused, defocused, or rastered over an area.</t>
  </si>
  <si>
    <t>Focused | Defocused | Raster</t>
  </si>
  <si>
    <t>Focused</t>
  </si>
  <si>
    <t xml:space="preserve">Focused </t>
  </si>
  <si>
    <t xml:space="preserve">Defocused </t>
  </si>
  <si>
    <t>Focused (2 µm probe)</t>
  </si>
  <si>
    <t xml:space="preserve">variable </t>
  </si>
  <si>
    <t>variable</t>
  </si>
  <si>
    <t>Focused 1 µm</t>
  </si>
  <si>
    <t>Focused  5 µm</t>
  </si>
  <si>
    <t>Defocused 2–5 µm</t>
  </si>
  <si>
    <t>$MethodDefinition.ada:beamMode</t>
  </si>
  <si>
    <t>Method property (ada:fieldScope='method') with ada:enumeration of allowed values (focused|defocused|rastered) and ada:dataType='string'.</t>
  </si>
  <si>
    <t>property:beamMode
  dataType: enum {Focused | Defocused | Raster }
  readOnly:True</t>
  </si>
  <si>
    <t>Default Accelerating Voltage</t>
  </si>
  <si>
    <t>Electron beam accelerating voltage in kilovolts (kV).</t>
  </si>
  <si>
    <t>Numeric (kV)</t>
  </si>
  <si>
    <t>e.g., 15 | 20 | 7.5</t>
  </si>
  <si>
    <t>15</t>
  </si>
  <si>
    <t>20</t>
  </si>
  <si>
    <t>$MethodDefinition.ada:acceleratingVoltageDefault</t>
  </si>
  <si>
    <t>MethodParameter (ada:fieldScope='method') , ada:dataType='number', schema:unitText='kV'</t>
  </si>
  <si>
    <t>property:  acceleratingVoltageDefault
  datatype: schema:PropertyValue
  readonly: True 
parameter: acceleratingVoltage
  dataType: schema:PropertyValue
  readOnly: False</t>
  </si>
  <si>
    <t>Default Beam Diameter</t>
  </si>
  <si>
    <t>Diameter of the focused or defocused electron beam in micrometers.</t>
  </si>
  <si>
    <t>Numeric (µm)</t>
  </si>
  <si>
    <t>0 = focused; e.g., 0 | 5 | 10 | 20</t>
  </si>
  <si>
    <t>0 (focused)</t>
  </si>
  <si>
    <t xml:space="preserve">1–2 µm focused </t>
  </si>
  <si>
    <t>5–10 µm defocused</t>
  </si>
  <si>
    <t>1 µm (focused)</t>
  </si>
  <si>
    <t>2 µm</t>
  </si>
  <si>
    <t>~1 µm focused</t>
  </si>
  <si>
    <t xml:space="preserve">1 µm </t>
  </si>
  <si>
    <t>5 µm</t>
  </si>
  <si>
    <t xml:space="preserve"> 2 µm </t>
  </si>
  <si>
    <t xml:space="preserve">0 focused </t>
  </si>
  <si>
    <t xml:space="preserve"> 2–5 µm defocused</t>
  </si>
  <si>
    <t>$MethodDefinition.ada:beamDiameterDefault</t>
  </si>
  <si>
    <t>MethodParameter (ada:fieldScope='method') , ada:dataType='number', schema:unitText='um'.</t>
  </si>
  <si>
    <t>property: beamDiameterDefault
  readOnly: True
  dataType: schema:PropertyValue
parameter: beamDiameter
  dataType: schema:PropertyValue
  readOnly: False</t>
  </si>
  <si>
    <t>Beam Raster Dimensions</t>
  </si>
  <si>
    <t>X × Y dimensions of beam raster area in micrometers, if beam raster mode was used.</t>
  </si>
  <si>
    <t>Numeric pair (µm × µm)</t>
  </si>
  <si>
    <t>e.g., 10×10 | 20×20</t>
  </si>
  <si>
    <t>10 by 10</t>
  </si>
  <si>
    <t>$.ada:methodParameters[]</t>
  </si>
  <si>
    <t>Partial match. A single schema:defaultValue can't natively carry X x Y; model as two MethodParameters (rasterWidthX, rasterHeightY) or one string parameter with a schema:valuePattern for the X x Y format.</t>
  </si>
  <si>
    <t>parameter: BeamRasterDimension
  dataType: schema:PropertyValue
  readOnly: False</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</si>
  <si>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</si>
  <si>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</si>
  <si>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</si>
  <si>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</si>
  <si>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</si>
  <si>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</si>
  <si>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</si>
  <si>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</si>
  <si>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parameter:  BeamDamageMinimization. 
  dataType:  text
  readOnly: True</t>
  </si>
  <si>
    <t>Drift Correction</t>
  </si>
  <si>
    <t>Describe method used to monitor and correct for instrument drift</t>
  </si>
  <si>
    <t>e.g., Primary major element reference materials are run at beginning and end of every analytical session and the calibration is interpolated</t>
  </si>
  <si>
    <t>Primary major element reference materials are run at beginning and end of every analytical session and the calibration is interpolated</t>
  </si>
  <si>
    <t>Match. Same pattern as row 30; a method-level parameter ('driftCorrection') with schema:description narrative.</t>
  </si>
  <si>
    <t>parameter: DriftCorrection
  dataType:  text
  readOnly: True</t>
  </si>
  <si>
    <t>Target Element</t>
  </si>
  <si>
    <t>The element or oxide measured in this row of the element table.</t>
  </si>
  <si>
    <t>e.g., Si | Fe | Mn | Ti | Ba | Sr | ...</t>
  </si>
  <si>
    <t>Si|Al|K|Ca|Na|Fe|Mg|Ti|Cr|Mn</t>
  </si>
  <si>
    <t>Si|Al|Ca|Na|Fe|Mg|Mn|Ti|Cr|K</t>
  </si>
  <si>
    <t>Si|Mg|Fe|Na|Al|Ca|Mn|K|Ti|Cr</t>
  </si>
  <si>
    <t>Si|Ti|Al|Mg|Ca|Fe|Mn|Cr|Ni|Na|K|P</t>
  </si>
  <si>
    <t>Si|Al|Ti|K|Na|Fe|Mg|Ca|S|Mn|Cr|Ni|P|V</t>
  </si>
  <si>
    <t>F|CO2</t>
  </si>
  <si>
    <t>F|Na|Mg|Si|P|Ca|S|Cl|Mn|Fe|OH</t>
  </si>
  <si>
    <t>Na|Si|Mg|Ca|Mn|P|S|Fe</t>
  </si>
  <si>
    <t>F|P|Ca|Si|Mg|Mn|Fe|Al|S|K|Cl</t>
  </si>
  <si>
    <t>$.ada:analyteTemplate.ada:defaultAnalytes[]</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</si>
  <si>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</si>
  <si>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</si>
  <si>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Default Beam Current</t>
  </si>
  <si>
    <t>Probe current in nanoamperes (nA).</t>
  </si>
  <si>
    <t>Numeric (nA)</t>
  </si>
  <si>
    <t>e.g., 10 | 50 | 100</t>
  </si>
  <si>
    <t>Analyte specific</t>
  </si>
  <si>
    <t>5</t>
  </si>
  <si>
    <t>10</t>
  </si>
  <si>
    <t xml:space="preserve">20 nA </t>
  </si>
  <si>
    <t xml:space="preserve">
10 nA</t>
  </si>
  <si>
    <t>25 nA</t>
  </si>
  <si>
    <t>20 nA</t>
  </si>
  <si>
    <t xml:space="preserve">4 nA </t>
  </si>
  <si>
    <t xml:space="preserve">8 nA </t>
  </si>
  <si>
    <t xml:space="preserve">10 nA </t>
  </si>
  <si>
    <t>10 nA</t>
  </si>
  <si>
    <t>$.ada:methodParameters[].schema:defaultValue</t>
  </si>
  <si>
    <t>Items marked 'Analyte Specific' in column F of this table become entries in the ada:analyteColumns Array.  a row in the analyte column array with name=BeamCurrentDefault</t>
  </si>
  <si>
    <t>method-level property: beamCurrentDefault 
  data:type PropertyValue 
  readOnly:true
analyteColumn item: beamCurrent
  datatype: PropertyValue
  readOnly: true</t>
  </si>
  <si>
    <t>EPMA Technique per Element</t>
  </si>
  <si>
    <t>Whether this element was measured by WDS or EDS.</t>
  </si>
  <si>
    <t>WDS | EDS</t>
  </si>
  <si>
    <t>WDS</t>
  </si>
  <si>
    <t>√</t>
  </si>
  <si>
    <t>$.ada:analyteTemplate.ada:analyteColumns[]</t>
  </si>
  <si>
    <t>Direct match. Per-element column with ada:enumeration=['WDS','EDS'].</t>
  </si>
  <si>
    <t>analyteColumn : epmaTechnique 
  datatype: enum {WDS | EDS} 
  readOnly:true</t>
  </si>
  <si>
    <t>WDS Spectrometer Channel</t>
  </si>
  <si>
    <t>WDS spectrometer number used for this element.</t>
  </si>
  <si>
    <t>Integer</t>
  </si>
  <si>
    <t>1 | 2 | 3 | 4 | 5</t>
  </si>
  <si>
    <t>2|2|2|2|2|4|3|1|1|1</t>
  </si>
  <si>
    <t>Direct match. Per-element column with ada:dataType='integer'.</t>
  </si>
  <si>
    <t>analyteColumn : spectrometerNumber 
  datatype: positive integer
  readOnly:true</t>
  </si>
  <si>
    <t>Sequence</t>
  </si>
  <si>
    <t>Order of analysis on spectormeter.</t>
  </si>
  <si>
    <t>1|3|2|4|5|1|1|2|3|1</t>
  </si>
  <si>
    <t>Direct match. Per-element integer column (order/sequence on spectrometer).</t>
  </si>
  <si>
    <t>analyteColumn : analysisOrder 
  datatype: positive integer
  readOnly:true</t>
  </si>
  <si>
    <t>Diffracting Crystal</t>
  </si>
  <si>
    <t>Analysing crystal (monochromator) used in the WDS spectrometer for this element.</t>
  </si>
  <si>
    <t>LIF | LLIF | LIFL | LIFH | PET | LPET | PETL | PETH | PETJ | TAP | TAPL | TAPH | LTAP | LDE1 | LDE2 | LDE3 | RAP | KAP | ADP | Other</t>
  </si>
  <si>
    <t>LPET|LPET|LLIF|LLIF|LPET|LPET|TAP|LiF|LiF|LiF</t>
  </si>
  <si>
    <t>LDE1 (for F)</t>
  </si>
  <si>
    <t>Direct match. Per-element column with ada:enumeration or schema:inDefinedTermSet listing crystal types (TAP, PET, LIF, LDE, etc.).</t>
  </si>
  <si>
    <t>analyteColumn : monochromatorCrystal 
  datatype: enum {LIF | LLIF | LIFL | LIFH | PET | LPET | PETL | PETH | PETJ | TAP | TAPL | TAPH | LTAP | LDE1 | LDE2 | LDE3 | RAP | KAP | ADP | Other}
  readOnly:true</t>
  </si>
  <si>
    <t>Proportional Counter / Detector</t>
  </si>
  <si>
    <t>Type of detector used in the WDS spectrometer for this element.</t>
  </si>
  <si>
    <t>High Pressure P10 Flow | Low Pressure P10 Flow | Xe Sealed | SDD | Si(Li) | Other | Unknown</t>
  </si>
  <si>
    <t>High Pressure P10 Flow|High Pressure P10 Flow|High Pressure P10 Flow|High Pressure P10 Flow|High Pressure P10 Flow| Low Pressure P10 Flow|Low Pressure P10 Flow|Low Pressure P10 Flow|Low Pressure P10 Flow|Low Pressure P10 Flow</t>
  </si>
  <si>
    <t>Direct match. Per-element column with ada:enumeration of detector/counter types.</t>
  </si>
  <si>
    <t>analyteColumn : wdsDetectorType 
  datatype: enum {High Pressure P10 Flow | Low Pressure P10 Flow | Xe Sealed | SDD | Si(Li) | Other | Unknown}
  readOnly:true</t>
  </si>
  <si>
    <t>WDS PHA Setting</t>
  </si>
  <si>
    <t>Pulse height analyzer setting used for the WDS detector.</t>
  </si>
  <si>
    <t>Integral | Differential</t>
  </si>
  <si>
    <t>Integral</t>
  </si>
  <si>
    <t>Direct match. Per-element column with ada:enumeration of PHA settings.</t>
  </si>
  <si>
    <t>analyteColumn : pulseHeightAnalyzeSetting 
  datatype: enum {Integral | Differential)
  readOnly:true</t>
  </si>
  <si>
    <t>X-ray Line</t>
  </si>
  <si>
    <t>The X-ray emission line measured for this element.</t>
  </si>
  <si>
    <t>Kα | Kβ | Lα | Lβ | Lγ | Mα | Mβ | Other</t>
  </si>
  <si>
    <t>Kalpha</t>
  </si>
  <si>
    <t>|||||||||</t>
  </si>
  <si>
    <t>Kα|Kα|Kα|Kα|Kα|Kα|Kα|Kα|Kα|Kα</t>
  </si>
  <si>
    <t>|||||||||||</t>
  </si>
  <si>
    <t>|||||||||||||</t>
  </si>
  <si>
    <t>|</t>
  </si>
  <si>
    <t>||||||||||</t>
  </si>
  <si>
    <t>|||||||</t>
  </si>
  <si>
    <t>Direct match. Per-element column for X-ray line (K-alpha, L-alpha, M-alpha, etc.) with ada:enumeration or vocabulary.</t>
  </si>
  <si>
    <t>analyteColumn : xrayEmissionLine 
  datatype: enum {Kalpha | Kbeta | Lalpha | Lbeta | Lgamma | Malpha | Mbeta | Other)
  readOnly:true</t>
  </si>
  <si>
    <t>Default Peak Counting Time</t>
  </si>
  <si>
    <t>Time spent counting X-ray intensity at the peak position in seconds.</t>
  </si>
  <si>
    <t>Numeric (s)</t>
  </si>
  <si>
    <t>e.g., 20 | 30 | 60</t>
  </si>
  <si>
    <t>20|20|20|20|30|20|20|60|60|60</t>
  </si>
  <si>
    <t>10–50</t>
  </si>
  <si>
    <t>20 s peak time</t>
  </si>
  <si>
    <t xml:space="preserve">20 s </t>
  </si>
  <si>
    <t xml:space="preserve"> 10 s peak </t>
  </si>
  <si>
    <t>20 s peak</t>
  </si>
  <si>
    <t>$.ada:analyteTemplate.ada:analyteColumns[].schema:defaultValue</t>
  </si>
  <si>
    <t>Direct match. Per-element column with ada:dataType='number', schema:unitText='s', schema:defaultValue=peak counting time.</t>
  </si>
  <si>
    <t>analyteColumn : peakCountingTime 
  datatype: numeric
  readOnly:true</t>
  </si>
  <si>
    <t>Default Background Counting Time</t>
  </si>
  <si>
    <t>Total time spent counting at background position(s) in seconds.</t>
  </si>
  <si>
    <t>e.g., 10 | 20 (total for all background positions)</t>
  </si>
  <si>
    <t>10 s background</t>
  </si>
  <si>
    <t xml:space="preserve">10 s </t>
  </si>
  <si>
    <t xml:space="preserve">5 s </t>
  </si>
  <si>
    <t>Direct match. Per-element column; same pattern as row 41 for background counting time.</t>
  </si>
  <si>
    <t>analyteColumn : backgroundCountingTime 
  datatype: numeric
  readOnly:true</t>
  </si>
  <si>
    <t>Typical Background Position(s)</t>
  </si>
  <si>
    <t>Positions of background measurements relative to the peak, in mm and/or sinθ, and whether on the high or low energy side.</t>
  </si>
  <si>
    <t>Numeric + label</t>
  </si>
  <si>
    <t>Location: High | Low | Both; e.g., '+5 mm (High), −5 mm (Low)'</t>
  </si>
  <si>
    <t>+5 mm (High)</t>
  </si>
  <si>
    <t>Partial match. Per-element column; value is text (position + label + units); model with ada:dataType='string' and a schema:valuePattern, or decompose into per-side numeric columns (bkgdLow/bkgdHigh in mm or sin-theta).</t>
  </si>
  <si>
    <t>analyteColumn : backgroundCountingPosition 
  datatype: text
  readOnly:true</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</si>
  <si>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</si>
  <si>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</si>
  <si>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</si>
  <si>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</si>
  <si>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Armstrong/Love-Scott</t>
  </si>
  <si>
    <t>CITZAF (Armstrong, 1995)</t>
  </si>
  <si>
    <t>Bence-Albee method</t>
  </si>
  <si>
    <t>ZAF correction</t>
  </si>
  <si>
    <t>$.ada:matrixCorrectionMethod</t>
  </si>
  <si>
    <t>Direct match. Method-level parameter with ada:category='Data Processing', ada:enumeration=['ZAF','PhiRhoZ','PAP', ...] or schema:inDefinedTermSet pointing at a SKOS scheme.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</si>
  <si>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</si>
  <si>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Mass Absorption Coefficients (MACs)</t>
  </si>
  <si>
    <t>Database of mass absorption coefficients used in the matrix correction.</t>
  </si>
  <si>
    <t>LINEMU | CITZMU | MCMASTER | MAC30 | MACJTA | FFAST | Other | Unknown</t>
  </si>
  <si>
    <t>MCMASTER</t>
  </si>
  <si>
    <t>Direct match. Method-level parameter with ada:enumeration listing MAC databases (MAC30, FFAST, Henke, etc.).</t>
  </si>
  <si>
    <t>parameter: massAbsorptionCoefficients
   datatype: enum {LINEMU | CITZMU | MCMASTER | MAC30 | MACJTA | FFAST | Other | Unknown}
   readOnly: true</t>
  </si>
  <si>
    <t>Halogen Correction on Oxygen</t>
  </si>
  <si>
    <t>Whether a halogen correction was applied to calculate oxygen content by stoichiometry in halogen-bearing phases.</t>
  </si>
  <si>
    <t>Boolean</t>
  </si>
  <si>
    <t>Yes | No | N/A</t>
  </si>
  <si>
    <t>N/A</t>
  </si>
  <si>
    <t>Yes (F correction for fluorine-bearing phosphates; CO2 by stoichiometry for carbonates)</t>
  </si>
  <si>
    <t>Yes (F measured; Cl measured; OH by difference)</t>
  </si>
  <si>
    <t>Direct match. Method-level parameter with ada:dataType='boolean' and schema:defaultValue.</t>
  </si>
  <si>
    <t>parameter: halogenOxygenCorrection
   datatype: boolean 
   readOnly: true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</si>
  <si>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</si>
  <si>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</si>
  <si>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</si>
  <si>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Super-precision</t>
  </si>
  <si>
    <t>Direct match. Method-level parameter with ada:enumeration of dead-time correction methods.</t>
  </si>
  <si>
    <t>parameter: wdsDeadTimeCorrection
   datatype: enum {Default constant 3µs (Cameca) | Adjusted constant (Cameca) | Default constant (JEOL) | Adjusted constant (JEOL) | High-precision (Probe for EPMA) | Logarithmic | Super-precision | Simple | Other | Unknown}
   readOnly: true</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</si>
  <si>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</si>
  <si>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</si>
  <si>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</si>
  <si>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</si>
  <si>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parameter: edsSpectralProcessingType
   datatype: enum {Background fitting | Peak deconvolution | Top hat | Gaussian | Filter fit | Other | Unknown}
   readOnly: true</t>
  </si>
  <si>
    <t>Blank Correction</t>
  </si>
  <si>
    <t>Method and reference materials used to determine and apply blank corrections.</t>
  </si>
  <si>
    <t>Method (e.g., single-sample mean) + blank material name</t>
  </si>
  <si>
    <t>single-sample mean; quartz</t>
  </si>
  <si>
    <t>Match. Method-level parameter with free-text schema:description</t>
  </si>
  <si>
    <t>analyteColumn : blankCorrection 
  datatype: text
  readOnly:true</t>
  </si>
  <si>
    <t>Normalization / Standards-Based Correction</t>
  </si>
  <si>
    <t>Post-acquisition normalization applied using secondary reference materials.</t>
  </si>
  <si>
    <t>e.g., 'Single-sample normalization to JdF-D2 basalt glass'</t>
  </si>
  <si>
    <t>Single-sample normalization to JdF-D2 basalt glass</t>
  </si>
  <si>
    <t>Match. Method-level parameter with schema:description; references to secondary standards can be linked into bios:reagent.</t>
  </si>
  <si>
    <t>analyteColumn : normalization-standardsCorrection 
  datatype: text
  readOnly:true</t>
  </si>
  <si>
    <t>EDS Dead Time</t>
  </si>
  <si>
    <t>Percent dead time reported by the EDS spectrometer</t>
  </si>
  <si>
    <t>e.g., 10-12 %</t>
  </si>
  <si>
    <t>10-12 %</t>
  </si>
  <si>
    <t>Match. Method-level parameter</t>
  </si>
  <si>
    <t>analyteColumn : edsDeadTime 
  datatype: text
  readOnly:true</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</si>
  <si>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</si>
  <si>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</si>
  <si>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</si>
  <si>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1-point low with slope factor</t>
  </si>
  <si>
    <t>MAN (mean atomic number) background calibration</t>
  </si>
  <si>
    <t>Match. analyte-level parameter with ada:enumeration of background correction methods (linear, exponential, mean of two points, etc.).</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</si>
  <si>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</si>
  <si>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Time-Dependent Intensity Correction</t>
  </si>
  <si>
    <t>Type of time-dependent intensity correction applied for volatile or beam-sensitive elements.</t>
  </si>
  <si>
    <t>None | Linear | Exponential | Double exponential | Other | Unknown</t>
  </si>
  <si>
    <t>Linear| Linear| Linear| Linear| Linear|Exponential| Double exponential|Double exponential|Double exponential|Exponential</t>
  </si>
  <si>
    <t>Match. analyte-level parameter with ada:enumeration of time-dependent intensity correction types.</t>
  </si>
  <si>
    <t>analyteColumn : timeDependentIntensityCorrection 
  datatype: enum {None | Linear | Exponential | Double exponential | Other | Unknown }
  readOnly:true</t>
  </si>
  <si>
    <t>Element Estimation Method</t>
  </si>
  <si>
    <t>How elemental concentrations were calculated — directly from measured X-ray intensities or via cation stoichiometry.</t>
  </si>
  <si>
    <t>Direct (measured) | Estimated via cation stoichiometry | Unknown</t>
  </si>
  <si>
    <t>Direct (measured)</t>
  </si>
  <si>
    <t>Match. analyte-level parameter with ada:enumeration ('fromIntensities','stoichiometric',...).</t>
  </si>
  <si>
    <t>analyteColumn : elementEstimationMethod 
  datatype: enum {Direct (measured) | Estimated via cation stoichiometry | Unknown }
  readOnly:true</t>
  </si>
  <si>
    <t>6. Quality Control &amp; Uncertainty</t>
  </si>
  <si>
    <t>Primary Calibration Standard Name</t>
  </si>
  <si>
    <t>Primary reference material used for element standardization (calibration).</t>
  </si>
  <si>
    <t>e.g., 'Kakanui hornblende' | 'NIST 610' | 'Smithsonian olivine'</t>
  </si>
  <si>
    <t>Anorthite|Anorthite|K-feldspar|Anorthite|Jadeite|Fayalite|Forsterite|Synthetic rutile|Cr2O3|Mn2SiO4</t>
  </si>
  <si>
    <t>Anorthite (Si Kα, Al Kα, Ca Kα); Albite (Na Kα); Fayalite (Fe Kα); Forsterite (Mg Kα); Mn2SiO4 (Mn Kα); TiO2 (Ti Kα); Cr2O3 (Cr Kα); Microcline (K Kα)</t>
  </si>
  <si>
    <t>Anorthite|Anorthite|Anorthite|Albite|Fayalite|Forsterite|Mn2SiO4|TiO2|Cr2O3|Microcline</t>
  </si>
  <si>
    <t>Natural kaersutite (Si, Mg, Fe); Jadeite (Na, Al); Bustamite (Ca, Mn); K-feldspar (K); Synthetic rutile (Ti); Cr2O3 (Cr)</t>
  </si>
  <si>
    <t>Natural kaersutite|Natural kaersutite|Natural kaersutite|Jadeite|Jadeite|Bustamite|Bustamite|K-feldspar|Synthetic rutile|Cr2O3</t>
  </si>
  <si>
    <t>Asbestos microcline (Si Kα, Al Kα, K Kα); Synthetic anorthite (Ca Kα); Amelia albite (Na Kα); Synthetic fayalite (Fe Kα); Synthetic forsterite (Mg Kα); Synthetic TiO2 (Ti Kα); Synthetic Cr2O3 (Cr Kα); Synthetic Mn-olivine (Mn Kα)</t>
  </si>
  <si>
    <t>Asbestos microcline|Asbestos microcline|Asbestos microcline|Synthetic anorthite|Amelia albite|Synthetic fayalite|Synthetic forsterite|Synthetic TiO2|Synthetic Cr2O3|Synthetic Mn-olivine</t>
  </si>
  <si>
    <t>Kakanui kaersutite (Si, Al, Ti, K, Na, Fe, Mg, Ca); Canyon Diablo troilite (S); Rhodonite (Mn); Chromium metal (Cr); Nickel metal (Ni); Apatite (P); Vanadium metal (V)</t>
  </si>
  <si>
    <t>Kakanui kaersutite|Kakanui kaersutite|Kakanui kaersutite|Kakanui kaersutite|Kakanui kaersutite|Kakanui kaersutite|Kakanui kaersutite|Kakanui kaersutite|Canyon Diablo troilite|Rhodonite|Chromium metal|Nickel metal|Apatite|Vanadium metal</t>
  </si>
  <si>
    <t>Natural and synthetic minerals routinely used in facility (not individually listed); synthetic F-phlogopite (primary standard for F)</t>
  </si>
  <si>
    <t>SrF2 (F), albite (Na), SW olivine (Mg), quartz (Si), Wilburforce apatite (P, Ca), barite (S), tugtupite (Cl), rhodonite (Mn), ilmenite (Fe)</t>
  </si>
  <si>
    <t>SrF2|albite|SW olivine|quartz|Wilburforce apatite|Wilburforce apatite|barite|tugtupite|rhodonite|ilmenite|</t>
  </si>
  <si>
    <t>natural and synthetic materials</t>
  </si>
  <si>
    <t>USNM chromite 117075, USNM ilmenite 96189, USNM magnetite 114887, USNM manganite 157872, bytownite R-2912, forsterite P140, San Carlos olivine USNM 111312/444, Springwater olivine USNM 2566</t>
  </si>
  <si>
    <t>albite (Na), Fo92 olivine (Si), dolomite (Mg), calcite (Ca), Mn carbonate (Mn), apatite (P), baryte (S), fayalite (Fe)</t>
  </si>
  <si>
    <t>albite|Fo92 olivine|dolomite|calcite|Mn carbonate|apatite|baryte|fayalite</t>
  </si>
  <si>
    <t>fluorapatite (F,P,Ca), Fo92 olivine (Si,Mg), rhodonite (Mn), fayalite (Fe), anorthite (Al), baryte (S), K-feldspar (K), scapolite (Cl)</t>
  </si>
  <si>
    <t>fluorapatite|fluorapatite|fluorapatite|Fo92 olivine|Fo92 olivine|rhodonite|fayalite|anorthite|baryte|K-feldspar|scapolite</t>
  </si>
  <si>
    <t xml:space="preserve">Natural and synthetic standards </t>
  </si>
  <si>
    <t>add to bios:reagent[] entry with ada:reagentRole='primaryStandard'; carry schema:name, schema:identifier (IGSN/GeoReM), schema:citation.</t>
  </si>
  <si>
    <t>analyteColumn : primaryCalibrationStandard 
  datatype: text
  readOnly:true</t>
  </si>
  <si>
    <t>Secondary Reference Materials</t>
  </si>
  <si>
    <t>List of quality-control reference materials (secondary standards) routinely analyzed alongside unknowns.</t>
  </si>
  <si>
    <t>e.g., 'USNM 111240/52 VG-2, NIST SRM 610'</t>
  </si>
  <si>
    <t>USNM 111240/52 VG-2</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</si>
  <si>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</si>
  <si>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</si>
  <si>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</si>
  <si>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add to bios:reagent[] entries with ada:reagentRole='secondaryStandard'; one entry per secondary material.</t>
  </si>
  <si>
    <t>analyteColumn : secondaryReferenceMaterial 
  datatype: text
  readOnly:true</t>
  </si>
  <si>
    <t>Interference Corrections Applied</t>
  </si>
  <si>
    <t>Flag indicating whether a spectral interference correction was applied for this element.</t>
  </si>
  <si>
    <t>Yes | No</t>
  </si>
  <si>
    <t>Yes</t>
  </si>
  <si>
    <t>Match. Per-element boolean column (ada:dataType='boolean'). Could alternatively be a method-level parameter if applied uniformly.</t>
  </si>
  <si>
    <t>analyteColumn : interferenceCorrection 
  datatype: boolean
  readOnly:true</t>
  </si>
  <si>
    <t>Interfering Elements</t>
  </si>
  <si>
    <t>List of elements whose X-ray lines overlap with the measured line for this element.</t>
  </si>
  <si>
    <t>e.g., 'Ti Kα overlaps Ba Lα'</t>
  </si>
  <si>
    <t>None</t>
  </si>
  <si>
    <t>Match. Per-element column with ada:dataType='string' (comma-separated list of interfering element symbols) or a custom pattern.</t>
  </si>
  <si>
    <t>analyteColumn : interferingElements 
  datatype: text
  readOnly:true</t>
  </si>
  <si>
    <t>Interference Correction Standard</t>
  </si>
  <si>
    <t>Reference material used to quantify and calibrate the interference correction.</t>
  </si>
  <si>
    <t>e.g., 'TiO2 synthetic' | 'Smithsonian titanite'</t>
  </si>
  <si>
    <t>add to bios:reagent[] entry with ada:reagentRole='interferenceStandard'.</t>
  </si>
  <si>
    <t>analyteColumn : interferenceCorrectionStandard 
  datatype: text
  readOnly:true</t>
  </si>
  <si>
    <t>Typical Detection Limit</t>
  </si>
  <si>
    <t>Method detection limit at 99% confidence (3σ) for each measured element.</t>
  </si>
  <si>
    <t>Numeric (wt% or ppm)</t>
  </si>
  <si>
    <t>e.g., 0.01 wt% | 100 ppm; per element</t>
  </si>
  <si>
    <t>0.01 wt%</t>
  </si>
  <si>
    <t>SiO2: 0.02 wt%; Al2O3: 0.02 wt%; MgO: 0.02 wt%; CaO: 0.02 wt%; Na2O: 0.02 wt%; K2O: 0.01 wt%; TiO2: 0.03 wt%; Cr2O3: 0.03 wt%; FeO: 0.05 wt%; MnO: 0.06 wt%</t>
  </si>
  <si>
    <t>0.02 wt%|0.02 wt%|0.05 wt%|0.02 wt%|0.02 wt%|0.02 wt%|0.06 wt%|0.01 wt%|0.03 wt%|0.03 wt%</t>
  </si>
  <si>
    <t>&lt;0.03 wt% for SiO2, TiO2, Al2O3, MgO, CaO; &lt;0.05–0.1 wt% for FeO, MnO, Cr2O3, NiO, Na2O, K2O, P2O5</t>
  </si>
  <si>
    <t>&lt;0.03 wt%|&lt;0.03 wt%|&lt;0.03 wt%|&lt;0.03 wt%|&lt;0.03 wt%|&lt;0.05–0.1 wt%|&lt;0.05–0.1 wt%|&lt;0.05–0.1 wt%|&lt;0.05–0.1 wt%|&lt;0.05–0.1 wt%|&lt;0.05–0.1 wt%|&lt;0.05–0.1 wt%</t>
  </si>
  <si>
    <t>Si: 0.05 wt%; Ti: 0.04 wt%; Al: 0.06 wt%; Fe: 0.06 wt%; Mg: 0.02 wt%; Ca: 0.02 wt%; Na: 0.03 wt%; K: 0.02 wt%; Cr: 0.05 wt%; Mn: 0.06 wt%</t>
  </si>
  <si>
    <t>0.05 wt%|0.06 wt%|0.02 wt%|0.02 wt%|0.03 wt%|0.06 wt%|0.02 wt%|0.04 wt%|0.05 wt%|0.06 wt%</t>
  </si>
  <si>
    <t>Al2O3: 0.03–0.04 wt%; K2O: 0.03–0.04 wt%; CaO: 0.03–0.04 wt%; Na2O: 0.05 wt%; MgO: 0.05 wt%; SiO2: 0.05 wt%; FeO: 0.05 wt%; MnO: 0.05 wt%; P2O5: 0.06–0.09 wt%; SO2: 0.06–0.09 wt%; TiO2: 0.06–0.09 wt%; V2O3: 0.06–0.09 wt%; Cr2O3: 0.06–0.09 wt%; NiO: 0.06–0.09 wt%</t>
  </si>
  <si>
    <t>0.05 wt%|0.03–0.04 wt%|0.06–0.09 wt%|0.03–0.04 wt%|0.05 wt%|0.05 wt%|0.05 wt%|0.03–0.04 wt%|0.06–0.09 wt%|0.05 wt%|0.06–0.09 wt%|0.06–0.09 wt%|0.06–0.09 wt%|0.06–0.09 wt%</t>
  </si>
  <si>
    <t>Typical detection limits: &lt;0.02 wt% for most oxides</t>
  </si>
  <si>
    <t xml:space="preserve">CDIF dataset mapping: dqv:QualityMeasurement with dqv:isMeasurementOf='detection limit' and dqv:value. </t>
  </si>
  <si>
    <t>analyteColumn : typicalDetectionLimit 
  datatype: text
  readOnly:true</t>
  </si>
  <si>
    <t>Detection Limit Method</t>
  </si>
  <si>
    <t>Method used to compute detection limits.</t>
  </si>
  <si>
    <t>e.g., A.B., 1997, or method description</t>
  </si>
  <si>
    <t xml:space="preserve"> A.B.(1997)</t>
  </si>
  <si>
    <t>analyteColumn :detectionLimitMethod
  datatype: text
  readOnly:true</t>
  </si>
  <si>
    <t>Typical Analytical Precision</t>
  </si>
  <si>
    <t>Reproducibility of repeated measurements on the same or equivalent standard, expressed as 1σ relative standard deviation (%).</t>
  </si>
  <si>
    <t>e.g., '0.5% (1σ, n=20 for SiO2)'</t>
  </si>
  <si>
    <t>0.5% (1σ, n=20 for SiO2)|||||||||</t>
  </si>
  <si>
    <t>CDIF dataset mapping:  dqv:QualityMeasurement with dqv:isMeasurementOf='analytical precision'.</t>
  </si>
  <si>
    <t>analyteColumn :typicalAnalyticalPrecision
  datatype: text
  readOnly:true</t>
  </si>
  <si>
    <t>Typical Analytical Accuracy</t>
  </si>
  <si>
    <t>Offset between measured and accepted reference values for secondary standards, expressed as % relative bias.</t>
  </si>
  <si>
    <t>e.g., '+1.2% relative to GeoReM preferred value for VG-2 SiO2'</t>
  </si>
  <si>
    <t>1.2% relative to GeoReM preferred value for VG-2 SiO2|||||||||</t>
  </si>
  <si>
    <t>CDIF dataset mapping:  dqv:QualityMeasurement with dqv:isMeasurementOf='analytical accuracy'.</t>
  </si>
  <si>
    <t>analyteColumn :typicalAnalyticalAccuracy
  datatype: text
  readOnly:true</t>
  </si>
  <si>
    <t>Typical Counting Statistics Error</t>
  </si>
  <si>
    <t>1σ uncertainty propagated from counting statistics on peak and background intensities.</t>
  </si>
  <si>
    <t>Propagated 1σ error per measurement</t>
  </si>
  <si>
    <t>CDIF dataset mapping:  dqv:QualityMeasurement with dqv:isMeasurementOf='counting statistics error'.</t>
  </si>
  <si>
    <t>analyteColumn :typicalCountingStatisticsError
  datatype: text
  readOnly:true</t>
  </si>
  <si>
    <t>Additional Notes</t>
  </si>
  <si>
    <t>Any additional context about this method not captured by structured fields.</t>
  </si>
  <si>
    <t>Additional context about this method.</t>
  </si>
  <si>
    <t>$.schema:description</t>
  </si>
  <si>
    <t>method Property: schema:description accepts free-text narrative; additional notes can extend it or be distributed to the most relevant workflow step's schema:description.</t>
  </si>
  <si>
    <t>method property : description
  datatype: text
  readOnly:true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</si>
</sst>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mm:ss"/>
    <numFmt numFmtId="165" formatCode="yyyy\-mm\-dd"/>
  </numFmts>
  <fonts count="4" x14ac:knownFonts="1">
    <font>
      <sz val="11"/>
      <color theme="1"/>
      <name val="Calibri"/>
      <family val="2"/>
      <scheme val="minor"/>
    </font>
    <font>
      <sz val="11"/>
      <color theme="1"/>
      <name val="Calibri"/>
      <family val="2"/>
      <scheme val="minor"/>
    </font>
    <font>
      <sz val="10"/>
      <color theme="1"/>
      <name val="Calibri"/>
      <family val="2"/>
      <scheme val="minor"/>
    </font>
    <font>
      <sz val="11"/>
      <color rgb="FF000000"/>
      <name val="Calibri"/>
      <family val="2"/>
      <scheme val="minor"/>
    </font>
  </fonts>
  <fills count="17">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3" tint="0.59999389629810485"/>
        <bgColor indexed="64"/>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s>
  <borders count="7">
    <border>
      <left/>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right style="thin">
        <color auto="1"/>
      </right>
      <top/>
      <bottom/>
      <diagonal/>
    </border>
    <border>
      <left style="medium">
        <color auto="1"/>
      </left>
      <right style="thin">
        <color auto="1"/>
      </right>
      <top/>
      <bottom style="medium">
        <color auto="1"/>
      </bottom>
      <diagonal/>
    </border>
  </borders>
  <cellStyleXfs count="1">
    <xf numFmtId="0" fontId="0" fillId="0" borderId="0"/>
  </cellStyleXfs>
  <cellXfs count="31">
    <xf numFmtId="0" fontId="0" fillId="0" borderId="0" xfId="0"/>
    <xf numFmtId="0" fontId="0" fillId="0" borderId="0" xfId="0" applyAlignment="1">
      <alignment vertical="top" wrapText="1"/>
    </xf>
    <xf numFmtId="164" fontId="0" fillId="0" borderId="0" xfId="0" applyNumberForma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2" fillId="0" borderId="0" xfId="0" applyFont="1" applyAlignment="1">
      <alignment vertical="center" wrapText="1"/>
    </xf>
    <xf numFmtId="0" fontId="3" fillId="5" borderId="1" xfId="0" applyFont="1" applyFill="1" applyBorder="1" applyAlignment="1">
      <alignment horizontal="left" vertical="center" wrapText="1"/>
    </xf>
    <xf numFmtId="0" fontId="3" fillId="5" borderId="2" xfId="0" applyFont="1" applyFill="1" applyBorder="1" applyAlignment="1">
      <alignment horizontal="left" vertical="center" wrapText="1"/>
    </xf>
    <xf numFmtId="0" fontId="3" fillId="6" borderId="2" xfId="0" applyFont="1" applyFill="1" applyBorder="1" applyAlignment="1">
      <alignment horizontal="left" vertical="center" wrapText="1"/>
    </xf>
    <xf numFmtId="165" fontId="1" fillId="5" borderId="2" xfId="0" applyNumberFormat="1" applyFont="1" applyFill="1" applyBorder="1" applyAlignment="1">
      <alignment horizontal="left" vertical="center"/>
    </xf>
    <xf numFmtId="0" fontId="2" fillId="0" borderId="2" xfId="0" applyFont="1" applyBorder="1" applyAlignment="1">
      <alignment vertical="center" wrapText="1"/>
    </xf>
    <xf numFmtId="0" fontId="3" fillId="7" borderId="2" xfId="0" applyFont="1" applyFill="1" applyBorder="1" applyAlignment="1">
      <alignment horizontal="left" vertical="center" wrapText="1"/>
    </xf>
    <xf numFmtId="0" fontId="3" fillId="8" borderId="2" xfId="0" applyFont="1" applyFill="1" applyBorder="1" applyAlignment="1">
      <alignment horizontal="left" vertical="center" wrapText="1"/>
    </xf>
    <xf numFmtId="0" fontId="3" fillId="9" borderId="2" xfId="0" applyFont="1" applyFill="1" applyBorder="1" applyAlignment="1">
      <alignment horizontal="left" vertical="center" wrapText="1"/>
    </xf>
    <xf numFmtId="0" fontId="3" fillId="10" borderId="2" xfId="0" applyFont="1" applyFill="1" applyBorder="1" applyAlignment="1">
      <alignment horizontal="left" vertical="center" wrapText="1"/>
    </xf>
    <xf numFmtId="0" fontId="3" fillId="11" borderId="2" xfId="0" applyFont="1" applyFill="1" applyBorder="1" applyAlignment="1">
      <alignment horizontal="left" vertical="center" wrapText="1"/>
    </xf>
    <xf numFmtId="0" fontId="3" fillId="12" borderId="2" xfId="0" applyFont="1" applyFill="1" applyBorder="1" applyAlignment="1">
      <alignment horizontal="left" vertical="center" wrapText="1"/>
    </xf>
    <xf numFmtId="0" fontId="3" fillId="12" borderId="3" xfId="0" applyFont="1" applyFill="1" applyBorder="1" applyAlignment="1">
      <alignment horizontal="left" vertical="center" wrapText="1"/>
    </xf>
    <xf numFmtId="0" fontId="3" fillId="11" borderId="4" xfId="0" applyFont="1" applyFill="1" applyBorder="1" applyAlignment="1">
      <alignment horizontal="left" vertical="center" wrapText="1"/>
    </xf>
    <xf numFmtId="0" fontId="3" fillId="12" borderId="4" xfId="0" applyFont="1" applyFill="1" applyBorder="1" applyAlignment="1">
      <alignment horizontal="left" vertical="center" wrapText="1"/>
    </xf>
    <xf numFmtId="0" fontId="2" fillId="0" borderId="5" xfId="0" applyFont="1" applyBorder="1" applyAlignment="1">
      <alignment vertical="center" wrapText="1"/>
    </xf>
    <xf numFmtId="0" fontId="3" fillId="13" borderId="5" xfId="0" applyFont="1" applyFill="1" applyBorder="1" applyAlignment="1">
      <alignment horizontal="left" vertical="center" wrapText="1"/>
    </xf>
    <xf numFmtId="0" fontId="3" fillId="14" borderId="5"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3" fillId="14" borderId="6"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0" fillId="0" borderId="5" xfId="0" applyBorder="1"/>
    <xf numFmtId="0" fontId="3" fillId="15" borderId="4" xfId="0" applyFont="1" applyFill="1" applyBorder="1" applyAlignment="1">
      <alignment horizontal="left" vertical="center" wrapText="1"/>
    </xf>
    <xf numFmtId="0" fontId="3" fillId="16" borderId="4" xfId="0" applyFont="1" applyFill="1" applyBorder="1" applyAlignment="1">
      <alignment horizontal="left" vertical="center" wrapText="1"/>
    </xf>
    <xf numFmtId="0" fontId="2" fillId="0" borderId="5" xfId="0" applyFont="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70"/>
  <sheetViews>
    <sheetView tabSelected="1" workbookViewId="0">
      <pane xSplit="1" ySplit="1" topLeftCell="AN64" activePane="bottomRight" state="frozen"/>
      <selection pane="topRight" activeCell="B1" sqref="B1"/>
      <selection pane="bottomLeft" activeCell="A2" sqref="A2"/>
      <selection pane="bottomRight" activeCell="AO67" sqref="AO67"/>
    </sheetView>
  </sheetViews>
  <sheetFormatPr defaultColWidth="47.5703125" defaultRowHeight="15" x14ac:dyDescent="0.25"/>
  <cols>
    <col min="1" max="39" width="47.5703125" style="1"/>
    <col min="40" max="40" width="43.5703125" style="1" customWidth="1"/>
    <col min="41" max="16384" width="47.5703125" style="1"/>
  </cols>
  <sheetData>
    <row r="1" spans="1:44" ht="30" x14ac:dyDescent="0.25">
      <c r="A1" s="4"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row>
    <row r="2" spans="1:44" x14ac:dyDescent="0.25">
      <c r="A2" s="5" t="s">
        <v>44</v>
      </c>
      <c r="B2" s="5"/>
      <c r="C2" s="5"/>
      <c r="D2" s="5"/>
      <c r="E2" s="5"/>
      <c r="F2" s="5"/>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5"/>
      <c r="AP2" s="5"/>
      <c r="AQ2" s="5"/>
      <c r="AR2" s="5"/>
    </row>
    <row r="3" spans="1:44" ht="45" x14ac:dyDescent="0.25">
      <c r="A3" s="4" t="s">
        <v>45</v>
      </c>
      <c r="B3" s="1" t="s">
        <v>46</v>
      </c>
      <c r="C3" s="1" t="s">
        <v>47</v>
      </c>
      <c r="D3" s="1" t="s">
        <v>48</v>
      </c>
      <c r="E3" s="1" t="s">
        <v>49</v>
      </c>
      <c r="G3" s="7" t="s">
        <v>50</v>
      </c>
      <c r="H3" s="7" t="s">
        <v>50</v>
      </c>
      <c r="I3" s="7" t="s">
        <v>51</v>
      </c>
      <c r="J3" s="7" t="s">
        <v>51</v>
      </c>
      <c r="K3" s="7" t="s">
        <v>52</v>
      </c>
      <c r="L3" s="7" t="s">
        <v>52</v>
      </c>
      <c r="M3" s="7" t="s">
        <v>53</v>
      </c>
      <c r="N3" s="7" t="s">
        <v>53</v>
      </c>
      <c r="O3" s="7" t="s">
        <v>54</v>
      </c>
      <c r="P3" s="7" t="s">
        <v>54</v>
      </c>
      <c r="Q3" s="7" t="s">
        <v>51</v>
      </c>
      <c r="R3" s="7" t="s">
        <v>51</v>
      </c>
      <c r="S3" s="7" t="s">
        <v>51</v>
      </c>
      <c r="T3" s="7" t="s">
        <v>51</v>
      </c>
      <c r="U3" s="7" t="s">
        <v>51</v>
      </c>
      <c r="V3" s="7" t="s">
        <v>51</v>
      </c>
      <c r="W3" s="7" t="s">
        <v>55</v>
      </c>
      <c r="X3" s="7" t="s">
        <v>55</v>
      </c>
      <c r="Y3" s="7" t="s">
        <v>56</v>
      </c>
      <c r="Z3" s="7" t="s">
        <v>56</v>
      </c>
      <c r="AA3" s="7" t="s">
        <v>57</v>
      </c>
      <c r="AB3" s="7" t="s">
        <v>57</v>
      </c>
      <c r="AC3" s="7" t="s">
        <v>58</v>
      </c>
      <c r="AD3" s="7" t="s">
        <v>58</v>
      </c>
      <c r="AE3" s="7" t="s">
        <v>59</v>
      </c>
      <c r="AF3" s="7" t="s">
        <v>59</v>
      </c>
      <c r="AG3" s="7" t="s">
        <v>60</v>
      </c>
      <c r="AH3" s="7" t="s">
        <v>60</v>
      </c>
      <c r="AI3" s="7" t="s">
        <v>61</v>
      </c>
      <c r="AJ3" s="7" t="s">
        <v>61</v>
      </c>
      <c r="AK3" s="7" t="s">
        <v>62</v>
      </c>
      <c r="AL3" s="7" t="s">
        <v>62</v>
      </c>
      <c r="AM3" s="7" t="s">
        <v>63</v>
      </c>
      <c r="AN3" s="7" t="s">
        <v>63</v>
      </c>
      <c r="AO3" s="1">
        <f t="shared" ref="AO3:AO10" si="0">COUNTA(H3:V3)/10</f>
        <v>1.5</v>
      </c>
      <c r="AP3" s="1" t="s">
        <v>64</v>
      </c>
      <c r="AQ3" s="1" t="s">
        <v>65</v>
      </c>
    </row>
    <row r="4" spans="1:44" ht="60" x14ac:dyDescent="0.25">
      <c r="A4" s="4" t="s">
        <v>66</v>
      </c>
      <c r="B4" s="1" t="s">
        <v>67</v>
      </c>
      <c r="C4" s="1" t="s">
        <v>47</v>
      </c>
      <c r="D4" s="1" t="s">
        <v>68</v>
      </c>
      <c r="E4" s="1" t="s">
        <v>69</v>
      </c>
      <c r="G4" s="8" t="s">
        <v>70</v>
      </c>
      <c r="H4" s="8" t="s">
        <v>70</v>
      </c>
      <c r="I4" s="8" t="s">
        <v>70</v>
      </c>
      <c r="J4" s="8" t="s">
        <v>70</v>
      </c>
      <c r="K4" s="8" t="s">
        <v>70</v>
      </c>
      <c r="L4" s="8" t="s">
        <v>70</v>
      </c>
      <c r="M4" s="8" t="s">
        <v>70</v>
      </c>
      <c r="N4" s="8" t="s">
        <v>70</v>
      </c>
      <c r="O4" s="8" t="s">
        <v>70</v>
      </c>
      <c r="P4" s="8" t="s">
        <v>70</v>
      </c>
      <c r="Q4" s="8" t="s">
        <v>70</v>
      </c>
      <c r="R4" s="8" t="s">
        <v>70</v>
      </c>
      <c r="S4" s="8" t="s">
        <v>70</v>
      </c>
      <c r="T4" s="8" t="s">
        <v>70</v>
      </c>
      <c r="U4" s="8" t="s">
        <v>70</v>
      </c>
      <c r="V4" s="8" t="s">
        <v>70</v>
      </c>
      <c r="W4" s="8" t="s">
        <v>70</v>
      </c>
      <c r="X4" s="8" t="s">
        <v>70</v>
      </c>
      <c r="Y4" s="8" t="s">
        <v>70</v>
      </c>
      <c r="Z4" s="8" t="s">
        <v>70</v>
      </c>
      <c r="AA4" s="8" t="s">
        <v>70</v>
      </c>
      <c r="AB4" s="8" t="s">
        <v>70</v>
      </c>
      <c r="AC4" s="8" t="s">
        <v>70</v>
      </c>
      <c r="AD4" s="8" t="s">
        <v>70</v>
      </c>
      <c r="AE4" s="8" t="s">
        <v>70</v>
      </c>
      <c r="AF4" s="8" t="s">
        <v>70</v>
      </c>
      <c r="AG4" s="8" t="s">
        <v>70</v>
      </c>
      <c r="AH4" s="8" t="s">
        <v>70</v>
      </c>
      <c r="AI4" s="8" t="s">
        <v>70</v>
      </c>
      <c r="AJ4" s="8" t="s">
        <v>70</v>
      </c>
      <c r="AK4" s="8" t="s">
        <v>70</v>
      </c>
      <c r="AL4" s="8" t="s">
        <v>70</v>
      </c>
      <c r="AM4" s="8" t="s">
        <v>70</v>
      </c>
      <c r="AN4" s="8" t="s">
        <v>70</v>
      </c>
      <c r="AO4" s="1">
        <f t="shared" si="0"/>
        <v>1.5</v>
      </c>
      <c r="AP4" s="1" t="s">
        <v>71</v>
      </c>
      <c r="AQ4" s="1" t="s">
        <v>72</v>
      </c>
      <c r="AR4" s="1" t="s">
        <v>73</v>
      </c>
    </row>
    <row r="5" spans="1:44" ht="45" x14ac:dyDescent="0.25">
      <c r="A5" s="4" t="s">
        <v>74</v>
      </c>
      <c r="B5" s="1" t="s">
        <v>75</v>
      </c>
      <c r="C5" s="1" t="s">
        <v>47</v>
      </c>
      <c r="D5" s="1" t="s">
        <v>48</v>
      </c>
      <c r="E5" s="1" t="s">
        <v>76</v>
      </c>
      <c r="G5" s="8" t="s">
        <v>77</v>
      </c>
      <c r="H5" s="8" t="s">
        <v>77</v>
      </c>
      <c r="I5" s="8" t="s">
        <v>78</v>
      </c>
      <c r="J5" s="8" t="s">
        <v>78</v>
      </c>
      <c r="K5" s="8" t="s">
        <v>79</v>
      </c>
      <c r="L5" s="8" t="s">
        <v>79</v>
      </c>
      <c r="M5" s="8" t="s">
        <v>80</v>
      </c>
      <c r="N5" s="8" t="s">
        <v>80</v>
      </c>
      <c r="O5" s="8" t="s">
        <v>80</v>
      </c>
      <c r="P5" s="8" t="s">
        <v>80</v>
      </c>
      <c r="Q5" s="8" t="s">
        <v>78</v>
      </c>
      <c r="R5" s="8" t="s">
        <v>78</v>
      </c>
      <c r="S5" s="8" t="s">
        <v>81</v>
      </c>
      <c r="T5" s="8" t="s">
        <v>81</v>
      </c>
      <c r="U5" s="8" t="s">
        <v>82</v>
      </c>
      <c r="V5" s="8" t="s">
        <v>82</v>
      </c>
      <c r="W5" s="8" t="s">
        <v>83</v>
      </c>
      <c r="X5" s="8" t="s">
        <v>83</v>
      </c>
      <c r="Y5" s="8" t="s">
        <v>84</v>
      </c>
      <c r="Z5" s="8" t="s">
        <v>84</v>
      </c>
      <c r="AA5" s="8" t="s">
        <v>84</v>
      </c>
      <c r="AB5" s="8" t="s">
        <v>84</v>
      </c>
      <c r="AC5" s="8" t="s">
        <v>84</v>
      </c>
      <c r="AD5" s="8" t="s">
        <v>84</v>
      </c>
      <c r="AE5" s="8" t="s">
        <v>85</v>
      </c>
      <c r="AF5" s="8" t="s">
        <v>85</v>
      </c>
      <c r="AG5" s="8" t="s">
        <v>85</v>
      </c>
      <c r="AH5" s="8" t="s">
        <v>85</v>
      </c>
      <c r="AI5" s="8" t="s">
        <v>85</v>
      </c>
      <c r="AJ5" s="8" t="s">
        <v>85</v>
      </c>
      <c r="AK5" s="8" t="s">
        <v>86</v>
      </c>
      <c r="AL5" s="8" t="s">
        <v>86</v>
      </c>
      <c r="AM5" s="8" t="s">
        <v>86</v>
      </c>
      <c r="AN5" s="8" t="s">
        <v>86</v>
      </c>
      <c r="AO5" s="1">
        <f t="shared" si="0"/>
        <v>1.5</v>
      </c>
      <c r="AP5" s="1" t="s">
        <v>87</v>
      </c>
      <c r="AQ5" s="1" t="s">
        <v>88</v>
      </c>
    </row>
    <row r="6" spans="1:44" ht="45" x14ac:dyDescent="0.25">
      <c r="A6" s="4" t="s">
        <v>89</v>
      </c>
      <c r="B6" s="1" t="s">
        <v>90</v>
      </c>
      <c r="C6" s="1" t="s">
        <v>47</v>
      </c>
      <c r="D6" s="1" t="s">
        <v>48</v>
      </c>
      <c r="E6" s="1" t="s">
        <v>91</v>
      </c>
      <c r="G6" s="8" t="s">
        <v>92</v>
      </c>
      <c r="H6" s="8" t="s">
        <v>92</v>
      </c>
      <c r="I6" s="8" t="s">
        <v>93</v>
      </c>
      <c r="J6" s="8" t="s">
        <v>93</v>
      </c>
      <c r="K6" s="8" t="s">
        <v>94</v>
      </c>
      <c r="L6" s="8" t="s">
        <v>94</v>
      </c>
      <c r="M6" s="8" t="s">
        <v>95</v>
      </c>
      <c r="N6" s="8" t="s">
        <v>95</v>
      </c>
      <c r="O6" s="8" t="s">
        <v>95</v>
      </c>
      <c r="P6" s="8" t="s">
        <v>95</v>
      </c>
      <c r="Q6" s="8" t="s">
        <v>93</v>
      </c>
      <c r="R6" s="8" t="s">
        <v>93</v>
      </c>
      <c r="S6" s="8" t="s">
        <v>96</v>
      </c>
      <c r="T6" s="8" t="s">
        <v>96</v>
      </c>
      <c r="U6" s="8" t="s">
        <v>97</v>
      </c>
      <c r="V6" s="8" t="s">
        <v>97</v>
      </c>
      <c r="W6" s="8" t="s">
        <v>98</v>
      </c>
      <c r="X6" s="8" t="s">
        <v>98</v>
      </c>
      <c r="Y6" s="8" t="s">
        <v>99</v>
      </c>
      <c r="Z6" s="8" t="s">
        <v>99</v>
      </c>
      <c r="AA6" s="8" t="s">
        <v>99</v>
      </c>
      <c r="AB6" s="8" t="s">
        <v>99</v>
      </c>
      <c r="AC6" s="8" t="s">
        <v>99</v>
      </c>
      <c r="AD6" s="8" t="s">
        <v>99</v>
      </c>
      <c r="AE6" s="8" t="s">
        <v>100</v>
      </c>
      <c r="AF6" s="8" t="s">
        <v>100</v>
      </c>
      <c r="AG6" s="8" t="s">
        <v>100</v>
      </c>
      <c r="AH6" s="8" t="s">
        <v>100</v>
      </c>
      <c r="AI6" s="8" t="s">
        <v>100</v>
      </c>
      <c r="AJ6" s="8" t="s">
        <v>100</v>
      </c>
      <c r="AK6" s="8" t="s">
        <v>101</v>
      </c>
      <c r="AL6" s="8" t="s">
        <v>101</v>
      </c>
      <c r="AM6" s="8" t="s">
        <v>101</v>
      </c>
      <c r="AN6" s="8" t="s">
        <v>101</v>
      </c>
      <c r="AO6" s="1">
        <f t="shared" si="0"/>
        <v>1.5</v>
      </c>
      <c r="AP6" s="1" t="s">
        <v>102</v>
      </c>
      <c r="AQ6" s="1" t="s">
        <v>103</v>
      </c>
    </row>
    <row r="7" spans="1:44" ht="30" x14ac:dyDescent="0.25">
      <c r="A7" s="4" t="s">
        <v>104</v>
      </c>
      <c r="B7" s="1" t="s">
        <v>105</v>
      </c>
      <c r="C7" s="1" t="s">
        <v>106</v>
      </c>
      <c r="D7" s="1" t="s">
        <v>107</v>
      </c>
      <c r="E7" s="1" t="s">
        <v>108</v>
      </c>
      <c r="G7" s="9" t="s">
        <v>109</v>
      </c>
      <c r="H7" s="9" t="s">
        <v>109</v>
      </c>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1">
        <f t="shared" si="0"/>
        <v>0.1</v>
      </c>
      <c r="AP7" s="1" t="s">
        <v>110</v>
      </c>
      <c r="AQ7" s="1" t="s">
        <v>111</v>
      </c>
    </row>
    <row r="8" spans="1:44" ht="45" x14ac:dyDescent="0.25">
      <c r="A8" s="4" t="s">
        <v>112</v>
      </c>
      <c r="B8" s="1" t="s">
        <v>113</v>
      </c>
      <c r="C8" s="1" t="s">
        <v>47</v>
      </c>
      <c r="D8" s="1" t="s">
        <v>114</v>
      </c>
      <c r="E8" s="2">
        <v>46082</v>
      </c>
      <c r="G8" s="10">
        <v>46140</v>
      </c>
      <c r="H8" s="10">
        <v>46140</v>
      </c>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
        <f t="shared" si="0"/>
        <v>0.1</v>
      </c>
      <c r="AP8" s="1" t="s">
        <v>115</v>
      </c>
      <c r="AQ8" s="1" t="s">
        <v>116</v>
      </c>
    </row>
    <row r="9" spans="1:44" ht="45" x14ac:dyDescent="0.25">
      <c r="A9" s="4" t="s">
        <v>117</v>
      </c>
      <c r="B9" s="1" t="s">
        <v>118</v>
      </c>
      <c r="C9" s="1" t="s">
        <v>106</v>
      </c>
      <c r="D9" s="1" t="s">
        <v>48</v>
      </c>
      <c r="E9" s="1" t="s">
        <v>119</v>
      </c>
      <c r="G9" s="9" t="s">
        <v>120</v>
      </c>
      <c r="H9" s="9" t="s">
        <v>120</v>
      </c>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1">
        <f t="shared" si="0"/>
        <v>0.1</v>
      </c>
      <c r="AP9" s="1" t="s">
        <v>121</v>
      </c>
      <c r="AQ9" s="1" t="s">
        <v>122</v>
      </c>
      <c r="AR9" s="1" t="s">
        <v>123</v>
      </c>
    </row>
    <row r="10" spans="1:44" ht="45" x14ac:dyDescent="0.25">
      <c r="A10" s="4" t="s">
        <v>124</v>
      </c>
      <c r="B10" s="1" t="s">
        <v>125</v>
      </c>
      <c r="C10" s="1" t="s">
        <v>106</v>
      </c>
      <c r="D10" s="1" t="s">
        <v>126</v>
      </c>
      <c r="E10" s="1" t="s">
        <v>127</v>
      </c>
      <c r="G10" s="9" t="s">
        <v>128</v>
      </c>
      <c r="H10" s="9" t="s">
        <v>128</v>
      </c>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1">
        <f t="shared" si="0"/>
        <v>0.1</v>
      </c>
      <c r="AP10" s="1" t="s">
        <v>129</v>
      </c>
      <c r="AQ10" s="1" t="s">
        <v>130</v>
      </c>
    </row>
    <row r="11" spans="1:44" x14ac:dyDescent="0.25">
      <c r="A11" s="4"/>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row>
    <row r="12" spans="1:44" x14ac:dyDescent="0.25">
      <c r="A12" s="5" t="s">
        <v>131</v>
      </c>
      <c r="B12" s="5"/>
      <c r="C12" s="5"/>
      <c r="D12" s="5"/>
      <c r="E12" s="5"/>
      <c r="F12" s="5"/>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5"/>
      <c r="AP12" s="5"/>
      <c r="AQ12" s="5"/>
      <c r="AR12" s="5"/>
    </row>
    <row r="13" spans="1:44" ht="75" x14ac:dyDescent="0.25">
      <c r="A13" s="4" t="s">
        <v>132</v>
      </c>
      <c r="B13" s="1" t="s">
        <v>133</v>
      </c>
      <c r="C13" s="1" t="s">
        <v>47</v>
      </c>
      <c r="D13" s="1" t="s">
        <v>134</v>
      </c>
      <c r="E13" s="1" t="s">
        <v>135</v>
      </c>
      <c r="G13" s="12" t="s">
        <v>136</v>
      </c>
      <c r="H13" s="12" t="s">
        <v>136</v>
      </c>
      <c r="I13" s="12" t="s">
        <v>137</v>
      </c>
      <c r="J13" s="12" t="s">
        <v>137</v>
      </c>
      <c r="K13" s="12" t="s">
        <v>138</v>
      </c>
      <c r="L13" s="12" t="s">
        <v>138</v>
      </c>
      <c r="M13" s="12" t="s">
        <v>139</v>
      </c>
      <c r="N13" s="12" t="s">
        <v>139</v>
      </c>
      <c r="O13" s="12" t="s">
        <v>140</v>
      </c>
      <c r="P13" s="12" t="s">
        <v>140</v>
      </c>
      <c r="Q13" s="12" t="s">
        <v>141</v>
      </c>
      <c r="R13" s="12" t="s">
        <v>141</v>
      </c>
      <c r="S13" s="12" t="s">
        <v>142</v>
      </c>
      <c r="T13" s="12" t="s">
        <v>142</v>
      </c>
      <c r="U13" s="12" t="s">
        <v>143</v>
      </c>
      <c r="V13" s="12" t="s">
        <v>143</v>
      </c>
      <c r="W13" s="12" t="s">
        <v>144</v>
      </c>
      <c r="X13" s="12" t="s">
        <v>144</v>
      </c>
      <c r="Y13" s="12" t="s">
        <v>145</v>
      </c>
      <c r="Z13" s="12" t="s">
        <v>145</v>
      </c>
      <c r="AA13" s="12" t="s">
        <v>146</v>
      </c>
      <c r="AB13" s="12" t="s">
        <v>146</v>
      </c>
      <c r="AC13" s="12" t="s">
        <v>147</v>
      </c>
      <c r="AD13" s="12" t="s">
        <v>147</v>
      </c>
      <c r="AE13" s="12" t="s">
        <v>148</v>
      </c>
      <c r="AF13" s="12" t="s">
        <v>148</v>
      </c>
      <c r="AG13" s="12" t="s">
        <v>149</v>
      </c>
      <c r="AH13" s="12" t="s">
        <v>149</v>
      </c>
      <c r="AI13" s="12" t="s">
        <v>150</v>
      </c>
      <c r="AJ13" s="12" t="s">
        <v>150</v>
      </c>
      <c r="AK13" s="12" t="s">
        <v>151</v>
      </c>
      <c r="AL13" s="12" t="s">
        <v>151</v>
      </c>
      <c r="AM13" s="12" t="s">
        <v>152</v>
      </c>
      <c r="AN13" s="12" t="s">
        <v>152</v>
      </c>
      <c r="AO13" s="1">
        <f>COUNTA(H13:V13)/10</f>
        <v>1.5</v>
      </c>
      <c r="AP13" s="1" t="s">
        <v>153</v>
      </c>
      <c r="AQ13" s="1" t="s">
        <v>154</v>
      </c>
    </row>
    <row r="14" spans="1:44" ht="105" x14ac:dyDescent="0.25">
      <c r="A14" s="4" t="s">
        <v>155</v>
      </c>
      <c r="B14" s="1" t="s">
        <v>156</v>
      </c>
      <c r="C14" s="1" t="s">
        <v>106</v>
      </c>
      <c r="D14" s="1" t="s">
        <v>48</v>
      </c>
      <c r="E14" s="1" t="s">
        <v>157</v>
      </c>
      <c r="G14" s="13" t="s">
        <v>158</v>
      </c>
      <c r="H14" s="13" t="s">
        <v>158</v>
      </c>
      <c r="I14" s="13" t="s">
        <v>159</v>
      </c>
      <c r="J14" s="13" t="s">
        <v>159</v>
      </c>
      <c r="K14" s="13" t="s">
        <v>160</v>
      </c>
      <c r="L14" s="13" t="s">
        <v>160</v>
      </c>
      <c r="M14" s="13" t="s">
        <v>161</v>
      </c>
      <c r="N14" s="13" t="s">
        <v>161</v>
      </c>
      <c r="O14" s="13" t="s">
        <v>161</v>
      </c>
      <c r="P14" s="13" t="s">
        <v>161</v>
      </c>
      <c r="Q14" s="13" t="s">
        <v>162</v>
      </c>
      <c r="R14" s="13" t="s">
        <v>162</v>
      </c>
      <c r="S14" s="13" t="s">
        <v>163</v>
      </c>
      <c r="T14" s="13" t="s">
        <v>163</v>
      </c>
      <c r="U14" s="13" t="s">
        <v>164</v>
      </c>
      <c r="V14" s="13" t="s">
        <v>164</v>
      </c>
      <c r="W14" s="13" t="s">
        <v>165</v>
      </c>
      <c r="X14" s="13" t="s">
        <v>165</v>
      </c>
      <c r="Y14" s="13" t="s">
        <v>166</v>
      </c>
      <c r="Z14" s="13" t="s">
        <v>166</v>
      </c>
      <c r="AA14" s="13" t="s">
        <v>166</v>
      </c>
      <c r="AB14" s="13" t="s">
        <v>166</v>
      </c>
      <c r="AC14" s="13" t="s">
        <v>166</v>
      </c>
      <c r="AD14" s="13" t="s">
        <v>166</v>
      </c>
      <c r="AE14" s="13" t="s">
        <v>167</v>
      </c>
      <c r="AF14" s="13" t="s">
        <v>167</v>
      </c>
      <c r="AG14" s="13" t="s">
        <v>167</v>
      </c>
      <c r="AH14" s="13" t="s">
        <v>167</v>
      </c>
      <c r="AI14" s="13" t="s">
        <v>167</v>
      </c>
      <c r="AJ14" s="13" t="s">
        <v>167</v>
      </c>
      <c r="AK14" s="13" t="s">
        <v>168</v>
      </c>
      <c r="AL14" s="13" t="s">
        <v>168</v>
      </c>
      <c r="AM14" s="13" t="s">
        <v>168</v>
      </c>
      <c r="AN14" s="13" t="s">
        <v>168</v>
      </c>
      <c r="AO14" s="1">
        <f>COUNTA(H14:V14)/10</f>
        <v>1.5</v>
      </c>
      <c r="AP14" s="1" t="s">
        <v>169</v>
      </c>
      <c r="AQ14" s="1" t="s">
        <v>170</v>
      </c>
      <c r="AR14" s="1" t="s">
        <v>171</v>
      </c>
    </row>
    <row r="15" spans="1:44" x14ac:dyDescent="0.25">
      <c r="A15" s="4"/>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row>
    <row r="16" spans="1:44" x14ac:dyDescent="0.25">
      <c r="A16" s="5" t="s">
        <v>172</v>
      </c>
      <c r="B16" s="5"/>
      <c r="C16" s="5"/>
      <c r="D16" s="5"/>
      <c r="E16" s="5"/>
      <c r="F16" s="5"/>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5"/>
      <c r="AP16" s="5"/>
      <c r="AQ16" s="5"/>
      <c r="AR16" s="5"/>
    </row>
    <row r="17" spans="1:44" ht="30" x14ac:dyDescent="0.25">
      <c r="A17" s="4" t="s">
        <v>173</v>
      </c>
      <c r="B17" s="1" t="s">
        <v>174</v>
      </c>
      <c r="C17" s="1" t="s">
        <v>47</v>
      </c>
      <c r="D17" s="1" t="s">
        <v>68</v>
      </c>
      <c r="E17" s="1" t="s">
        <v>175</v>
      </c>
      <c r="G17" s="14" t="s">
        <v>176</v>
      </c>
      <c r="H17" s="14" t="s">
        <v>176</v>
      </c>
      <c r="I17" s="14" t="s">
        <v>177</v>
      </c>
      <c r="J17" s="14" t="s">
        <v>177</v>
      </c>
      <c r="K17" s="14" t="s">
        <v>177</v>
      </c>
      <c r="L17" s="14" t="s">
        <v>177</v>
      </c>
      <c r="M17" s="14" t="s">
        <v>178</v>
      </c>
      <c r="N17" s="14" t="s">
        <v>178</v>
      </c>
      <c r="O17" s="14" t="s">
        <v>178</v>
      </c>
      <c r="P17" s="14" t="s">
        <v>178</v>
      </c>
      <c r="Q17" s="14" t="s">
        <v>177</v>
      </c>
      <c r="R17" s="14" t="s">
        <v>177</v>
      </c>
      <c r="S17" s="14" t="s">
        <v>176</v>
      </c>
      <c r="T17" s="14" t="s">
        <v>176</v>
      </c>
      <c r="U17" s="14" t="s">
        <v>177</v>
      </c>
      <c r="V17" s="14" t="s">
        <v>177</v>
      </c>
      <c r="W17" s="14" t="s">
        <v>177</v>
      </c>
      <c r="X17" s="14" t="s">
        <v>177</v>
      </c>
      <c r="Y17" s="14" t="s">
        <v>178</v>
      </c>
      <c r="Z17" s="14" t="s">
        <v>178</v>
      </c>
      <c r="AA17" s="14" t="s">
        <v>178</v>
      </c>
      <c r="AB17" s="14" t="s">
        <v>178</v>
      </c>
      <c r="AC17" s="14" t="s">
        <v>178</v>
      </c>
      <c r="AD17" s="14" t="s">
        <v>178</v>
      </c>
      <c r="AE17" s="14" t="s">
        <v>179</v>
      </c>
      <c r="AF17" s="14" t="s">
        <v>179</v>
      </c>
      <c r="AG17" s="14" t="s">
        <v>179</v>
      </c>
      <c r="AH17" s="14" t="s">
        <v>179</v>
      </c>
      <c r="AI17" s="14" t="s">
        <v>179</v>
      </c>
      <c r="AJ17" s="14" t="s">
        <v>179</v>
      </c>
      <c r="AK17" s="14" t="s">
        <v>177</v>
      </c>
      <c r="AL17" s="14" t="s">
        <v>177</v>
      </c>
      <c r="AM17" s="14" t="s">
        <v>177</v>
      </c>
      <c r="AN17" s="14" t="s">
        <v>177</v>
      </c>
      <c r="AO17" s="1">
        <f t="shared" ref="AO17:AO23" si="1">COUNTA(H17:V17)/10</f>
        <v>1.5</v>
      </c>
      <c r="AP17" s="1" t="s">
        <v>180</v>
      </c>
      <c r="AQ17" s="1" t="s">
        <v>181</v>
      </c>
    </row>
    <row r="18" spans="1:44" ht="30" x14ac:dyDescent="0.25">
      <c r="A18" s="4" t="s">
        <v>182</v>
      </c>
      <c r="B18" s="1" t="s">
        <v>183</v>
      </c>
      <c r="C18" s="1" t="s">
        <v>47</v>
      </c>
      <c r="D18" s="1" t="s">
        <v>68</v>
      </c>
      <c r="E18" s="1" t="s">
        <v>184</v>
      </c>
      <c r="G18" s="14" t="s">
        <v>185</v>
      </c>
      <c r="H18" s="14" t="s">
        <v>185</v>
      </c>
      <c r="I18" s="14" t="s">
        <v>186</v>
      </c>
      <c r="J18" s="14" t="s">
        <v>186</v>
      </c>
      <c r="K18" s="14" t="s">
        <v>187</v>
      </c>
      <c r="L18" s="14" t="s">
        <v>187</v>
      </c>
      <c r="M18" s="14" t="s">
        <v>188</v>
      </c>
      <c r="N18" s="14" t="s">
        <v>188</v>
      </c>
      <c r="O18" s="14" t="s">
        <v>188</v>
      </c>
      <c r="P18" s="14" t="s">
        <v>188</v>
      </c>
      <c r="Q18" s="14" t="s">
        <v>186</v>
      </c>
      <c r="R18" s="14" t="s">
        <v>186</v>
      </c>
      <c r="S18" s="14" t="s">
        <v>189</v>
      </c>
      <c r="T18" s="14" t="s">
        <v>189</v>
      </c>
      <c r="U18" s="14" t="s">
        <v>186</v>
      </c>
      <c r="V18" s="14" t="s">
        <v>186</v>
      </c>
      <c r="W18" s="14" t="s">
        <v>190</v>
      </c>
      <c r="X18" s="14" t="s">
        <v>190</v>
      </c>
      <c r="Y18" s="14" t="s">
        <v>191</v>
      </c>
      <c r="Z18" s="14" t="s">
        <v>191</v>
      </c>
      <c r="AA18" s="14" t="s">
        <v>191</v>
      </c>
      <c r="AB18" s="14" t="s">
        <v>191</v>
      </c>
      <c r="AC18" s="14" t="s">
        <v>191</v>
      </c>
      <c r="AD18" s="14" t="s">
        <v>191</v>
      </c>
      <c r="AE18" s="14" t="s">
        <v>192</v>
      </c>
      <c r="AF18" s="14" t="s">
        <v>192</v>
      </c>
      <c r="AG18" s="14" t="s">
        <v>193</v>
      </c>
      <c r="AH18" s="14" t="s">
        <v>193</v>
      </c>
      <c r="AI18" s="14" t="s">
        <v>194</v>
      </c>
      <c r="AJ18" s="14" t="s">
        <v>194</v>
      </c>
      <c r="AK18" s="14" t="s">
        <v>195</v>
      </c>
      <c r="AL18" s="14" t="s">
        <v>195</v>
      </c>
      <c r="AM18" s="14" t="s">
        <v>195</v>
      </c>
      <c r="AN18" s="14" t="s">
        <v>195</v>
      </c>
      <c r="AO18" s="1">
        <f t="shared" si="1"/>
        <v>1.5</v>
      </c>
      <c r="AP18" s="1" t="s">
        <v>196</v>
      </c>
      <c r="AQ18" s="1" t="s">
        <v>197</v>
      </c>
    </row>
    <row r="19" spans="1:44" ht="75" x14ac:dyDescent="0.25">
      <c r="A19" s="4" t="s">
        <v>198</v>
      </c>
      <c r="B19" s="1" t="s">
        <v>199</v>
      </c>
      <c r="C19" s="1" t="s">
        <v>47</v>
      </c>
      <c r="D19" s="1" t="s">
        <v>68</v>
      </c>
      <c r="E19" s="1" t="s">
        <v>200</v>
      </c>
      <c r="G19" s="14" t="s">
        <v>201</v>
      </c>
      <c r="H19" s="14" t="s">
        <v>201</v>
      </c>
      <c r="I19" s="14"/>
      <c r="J19" s="14"/>
      <c r="K19" s="14"/>
      <c r="L19" s="14"/>
      <c r="M19" s="14"/>
      <c r="N19" s="14"/>
      <c r="O19" s="14"/>
      <c r="P19" s="14"/>
      <c r="Q19" s="14"/>
      <c r="R19" s="14"/>
      <c r="S19" s="14"/>
      <c r="T19" s="14"/>
      <c r="U19" s="14"/>
      <c r="V19" s="14"/>
      <c r="W19" s="14" t="s">
        <v>201</v>
      </c>
      <c r="X19" s="14" t="s">
        <v>201</v>
      </c>
      <c r="Y19" s="14"/>
      <c r="Z19" s="14"/>
      <c r="AA19" s="14"/>
      <c r="AB19" s="14"/>
      <c r="AC19" s="14"/>
      <c r="AD19" s="14"/>
      <c r="AE19" s="14" t="s">
        <v>201</v>
      </c>
      <c r="AF19" s="14" t="s">
        <v>201</v>
      </c>
      <c r="AG19" s="14" t="s">
        <v>201</v>
      </c>
      <c r="AH19" s="14" t="s">
        <v>201</v>
      </c>
      <c r="AI19" s="14" t="s">
        <v>201</v>
      </c>
      <c r="AJ19" s="14" t="s">
        <v>201</v>
      </c>
      <c r="AK19" s="14"/>
      <c r="AL19" s="14"/>
      <c r="AM19" s="14"/>
      <c r="AN19" s="14"/>
      <c r="AO19" s="1">
        <f t="shared" si="1"/>
        <v>0.1</v>
      </c>
      <c r="AP19" s="1" t="s">
        <v>202</v>
      </c>
      <c r="AQ19" s="1" t="s">
        <v>203</v>
      </c>
    </row>
    <row r="20" spans="1:44" ht="60" x14ac:dyDescent="0.25">
      <c r="A20" s="4" t="s">
        <v>204</v>
      </c>
      <c r="B20" s="1" t="s">
        <v>205</v>
      </c>
      <c r="C20" s="1" t="s">
        <v>47</v>
      </c>
      <c r="D20" s="1" t="s">
        <v>48</v>
      </c>
      <c r="E20" s="1" t="s">
        <v>206</v>
      </c>
      <c r="G20" s="14" t="s">
        <v>207</v>
      </c>
      <c r="H20" s="14" t="s">
        <v>207</v>
      </c>
      <c r="I20" s="14" t="s">
        <v>208</v>
      </c>
      <c r="J20" s="14" t="s">
        <v>208</v>
      </c>
      <c r="K20" s="14"/>
      <c r="L20" s="14"/>
      <c r="M20" s="14"/>
      <c r="N20" s="14"/>
      <c r="O20" s="14"/>
      <c r="P20" s="14"/>
      <c r="Q20" s="14" t="s">
        <v>208</v>
      </c>
      <c r="R20" s="14" t="s">
        <v>208</v>
      </c>
      <c r="S20" s="14"/>
      <c r="T20" s="14"/>
      <c r="U20" s="14" t="s">
        <v>208</v>
      </c>
      <c r="V20" s="14" t="s">
        <v>208</v>
      </c>
      <c r="W20" s="14"/>
      <c r="X20" s="14"/>
      <c r="Y20" s="14" t="s">
        <v>209</v>
      </c>
      <c r="Z20" s="14" t="s">
        <v>209</v>
      </c>
      <c r="AA20" s="14" t="s">
        <v>209</v>
      </c>
      <c r="AB20" s="14" t="s">
        <v>209</v>
      </c>
      <c r="AC20" s="14" t="s">
        <v>209</v>
      </c>
      <c r="AD20" s="14" t="s">
        <v>209</v>
      </c>
      <c r="AE20" s="14"/>
      <c r="AF20" s="14"/>
      <c r="AG20" s="14"/>
      <c r="AH20" s="14"/>
      <c r="AI20" s="14"/>
      <c r="AJ20" s="14"/>
      <c r="AK20" s="14"/>
      <c r="AL20" s="14"/>
      <c r="AM20" s="14"/>
      <c r="AN20" s="14"/>
      <c r="AO20" s="1">
        <f t="shared" si="1"/>
        <v>0.7</v>
      </c>
      <c r="AP20" s="1" t="s">
        <v>210</v>
      </c>
      <c r="AQ20" s="1" t="s">
        <v>211</v>
      </c>
      <c r="AR20" s="1" t="s">
        <v>212</v>
      </c>
    </row>
    <row r="21" spans="1:44" ht="45" x14ac:dyDescent="0.25">
      <c r="A21" s="4" t="s">
        <v>213</v>
      </c>
      <c r="B21" s="1" t="s">
        <v>214</v>
      </c>
      <c r="C21" s="1" t="s">
        <v>47</v>
      </c>
      <c r="D21" s="1" t="s">
        <v>215</v>
      </c>
      <c r="E21" s="1" t="s">
        <v>216</v>
      </c>
      <c r="G21" s="14" t="s">
        <v>217</v>
      </c>
      <c r="H21" s="14" t="s">
        <v>217</v>
      </c>
      <c r="I21" s="14" t="s">
        <v>218</v>
      </c>
      <c r="J21" s="14" t="s">
        <v>218</v>
      </c>
      <c r="K21" s="14"/>
      <c r="L21" s="14"/>
      <c r="M21" s="14"/>
      <c r="N21" s="14"/>
      <c r="O21" s="14"/>
      <c r="P21" s="14"/>
      <c r="Q21" s="14" t="s">
        <v>218</v>
      </c>
      <c r="R21" s="14" t="s">
        <v>218</v>
      </c>
      <c r="S21" s="14"/>
      <c r="T21" s="14"/>
      <c r="U21" s="14" t="s">
        <v>219</v>
      </c>
      <c r="V21" s="14" t="s">
        <v>219</v>
      </c>
      <c r="W21" s="14"/>
      <c r="X21" s="14"/>
      <c r="Y21" s="14" t="s">
        <v>220</v>
      </c>
      <c r="Z21" s="14" t="s">
        <v>220</v>
      </c>
      <c r="AA21" s="14" t="s">
        <v>220</v>
      </c>
      <c r="AB21" s="14" t="s">
        <v>220</v>
      </c>
      <c r="AC21" s="14" t="s">
        <v>220</v>
      </c>
      <c r="AD21" s="14" t="s">
        <v>220</v>
      </c>
      <c r="AE21" s="14" t="s">
        <v>221</v>
      </c>
      <c r="AF21" s="14" t="s">
        <v>221</v>
      </c>
      <c r="AG21" s="14" t="s">
        <v>221</v>
      </c>
      <c r="AH21" s="14" t="s">
        <v>221</v>
      </c>
      <c r="AI21" s="14" t="s">
        <v>221</v>
      </c>
      <c r="AJ21" s="14" t="s">
        <v>221</v>
      </c>
      <c r="AK21" s="14" t="s">
        <v>221</v>
      </c>
      <c r="AL21" s="14" t="s">
        <v>221</v>
      </c>
      <c r="AM21" s="14" t="s">
        <v>221</v>
      </c>
      <c r="AN21" s="14" t="s">
        <v>221</v>
      </c>
      <c r="AO21" s="1">
        <f t="shared" si="1"/>
        <v>0.7</v>
      </c>
      <c r="AP21" s="1" t="s">
        <v>210</v>
      </c>
      <c r="AQ21" s="1" t="s">
        <v>222</v>
      </c>
      <c r="AR21" s="1" t="s">
        <v>223</v>
      </c>
    </row>
    <row r="22" spans="1:44" ht="150" x14ac:dyDescent="0.25">
      <c r="A22" s="4" t="s">
        <v>224</v>
      </c>
      <c r="B22" s="1" t="s">
        <v>225</v>
      </c>
      <c r="C22" s="1" t="s">
        <v>106</v>
      </c>
      <c r="D22" s="1" t="s">
        <v>48</v>
      </c>
      <c r="E22" s="1" t="s">
        <v>226</v>
      </c>
      <c r="G22" s="15" t="s">
        <v>227</v>
      </c>
      <c r="H22" s="15" t="s">
        <v>227</v>
      </c>
      <c r="I22" s="15"/>
      <c r="J22" s="15"/>
      <c r="K22" s="15"/>
      <c r="L22" s="15"/>
      <c r="M22" s="15"/>
      <c r="N22" s="15"/>
      <c r="O22" s="15"/>
      <c r="P22" s="15"/>
      <c r="Q22" s="15"/>
      <c r="R22" s="15"/>
      <c r="S22" s="15"/>
      <c r="T22" s="15"/>
      <c r="U22" s="15" t="s">
        <v>228</v>
      </c>
      <c r="V22" s="15" t="s">
        <v>228</v>
      </c>
      <c r="W22" s="15"/>
      <c r="X22" s="15"/>
      <c r="Y22" s="15"/>
      <c r="Z22" s="15"/>
      <c r="AA22" s="15"/>
      <c r="AB22" s="15"/>
      <c r="AC22" s="15"/>
      <c r="AD22" s="15"/>
      <c r="AE22" s="15"/>
      <c r="AF22" s="15"/>
      <c r="AG22" s="15"/>
      <c r="AH22" s="15"/>
      <c r="AI22" s="15"/>
      <c r="AJ22" s="15"/>
      <c r="AK22" s="15"/>
      <c r="AL22" s="15"/>
      <c r="AM22" s="15"/>
      <c r="AN22" s="15"/>
      <c r="AO22" s="1">
        <f t="shared" si="1"/>
        <v>0.3</v>
      </c>
      <c r="AP22" s="1" t="s">
        <v>229</v>
      </c>
      <c r="AQ22" s="1" t="s">
        <v>230</v>
      </c>
      <c r="AR22" s="1" t="s">
        <v>231</v>
      </c>
    </row>
    <row r="23" spans="1:44" ht="60" x14ac:dyDescent="0.25">
      <c r="A23" s="4" t="s">
        <v>232</v>
      </c>
      <c r="B23" s="1" t="s">
        <v>233</v>
      </c>
      <c r="C23" s="1" t="s">
        <v>106</v>
      </c>
      <c r="D23" s="1" t="s">
        <v>48</v>
      </c>
      <c r="E23" s="1" t="s">
        <v>234</v>
      </c>
      <c r="G23" s="15"/>
      <c r="H23" s="15"/>
      <c r="I23" s="15"/>
      <c r="J23" s="15"/>
      <c r="K23" s="15"/>
      <c r="L23" s="15"/>
      <c r="M23" s="15"/>
      <c r="N23" s="15"/>
      <c r="O23" s="15"/>
      <c r="P23" s="15"/>
      <c r="Q23" s="15"/>
      <c r="R23" s="15"/>
      <c r="S23" s="15"/>
      <c r="T23" s="15"/>
      <c r="U23" s="15" t="s">
        <v>235</v>
      </c>
      <c r="V23" s="15" t="s">
        <v>235</v>
      </c>
      <c r="W23" s="15"/>
      <c r="X23" s="15"/>
      <c r="Y23" s="15"/>
      <c r="Z23" s="15"/>
      <c r="AA23" s="15"/>
      <c r="AB23" s="15"/>
      <c r="AC23" s="15"/>
      <c r="AD23" s="15"/>
      <c r="AE23" s="15"/>
      <c r="AF23" s="15"/>
      <c r="AG23" s="15"/>
      <c r="AH23" s="15"/>
      <c r="AI23" s="15"/>
      <c r="AJ23" s="15"/>
      <c r="AK23" s="15"/>
      <c r="AL23" s="15"/>
      <c r="AM23" s="15"/>
      <c r="AN23" s="15"/>
      <c r="AO23" s="1">
        <f t="shared" si="1"/>
        <v>0.2</v>
      </c>
      <c r="AP23" s="1" t="s">
        <v>236</v>
      </c>
      <c r="AQ23" s="1" t="s">
        <v>237</v>
      </c>
      <c r="AR23" s="1" t="s">
        <v>238</v>
      </c>
    </row>
    <row r="24" spans="1:44" x14ac:dyDescent="0.25">
      <c r="A24" s="4"/>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row>
    <row r="25" spans="1:44" x14ac:dyDescent="0.25">
      <c r="A25" s="5" t="s">
        <v>239</v>
      </c>
      <c r="B25" s="5"/>
      <c r="C25" s="5"/>
      <c r="D25" s="5"/>
      <c r="E25" s="5"/>
      <c r="F25" s="5"/>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5"/>
      <c r="AP25" s="5"/>
      <c r="AQ25" s="5"/>
      <c r="AR25" s="5"/>
    </row>
    <row r="26" spans="1:44" ht="60" x14ac:dyDescent="0.25">
      <c r="A26" s="4" t="s">
        <v>240</v>
      </c>
      <c r="B26" s="1" t="s">
        <v>241</v>
      </c>
      <c r="C26" s="1" t="s">
        <v>47</v>
      </c>
      <c r="D26" s="1" t="s">
        <v>68</v>
      </c>
      <c r="E26" s="1" t="s">
        <v>242</v>
      </c>
      <c r="G26" s="16" t="s">
        <v>243</v>
      </c>
      <c r="H26" s="16" t="s">
        <v>243</v>
      </c>
      <c r="I26" s="16" t="s">
        <v>243</v>
      </c>
      <c r="J26" s="16" t="s">
        <v>243</v>
      </c>
      <c r="K26" s="16" t="s">
        <v>243</v>
      </c>
      <c r="L26" s="16" t="s">
        <v>243</v>
      </c>
      <c r="M26" s="16" t="s">
        <v>244</v>
      </c>
      <c r="N26" s="16" t="s">
        <v>244</v>
      </c>
      <c r="O26" s="16" t="s">
        <v>245</v>
      </c>
      <c r="P26" s="16" t="s">
        <v>245</v>
      </c>
      <c r="Q26" s="16" t="s">
        <v>243</v>
      </c>
      <c r="R26" s="16" t="s">
        <v>243</v>
      </c>
      <c r="S26" s="16" t="s">
        <v>243</v>
      </c>
      <c r="T26" s="16" t="s">
        <v>243</v>
      </c>
      <c r="U26" s="16" t="s">
        <v>243</v>
      </c>
      <c r="V26" s="16" t="s">
        <v>243</v>
      </c>
      <c r="W26" s="16" t="s">
        <v>246</v>
      </c>
      <c r="X26" s="16" t="s">
        <v>246</v>
      </c>
      <c r="Y26" s="16" t="s">
        <v>244</v>
      </c>
      <c r="Z26" s="16" t="s">
        <v>244</v>
      </c>
      <c r="AA26" s="16" t="s">
        <v>247</v>
      </c>
      <c r="AB26" s="16" t="s">
        <v>247</v>
      </c>
      <c r="AC26" s="16" t="s">
        <v>248</v>
      </c>
      <c r="AD26" s="16" t="s">
        <v>248</v>
      </c>
      <c r="AE26" s="16" t="s">
        <v>249</v>
      </c>
      <c r="AF26" s="16" t="s">
        <v>249</v>
      </c>
      <c r="AG26" s="16" t="s">
        <v>250</v>
      </c>
      <c r="AH26" s="16" t="s">
        <v>250</v>
      </c>
      <c r="AI26" s="16" t="s">
        <v>245</v>
      </c>
      <c r="AJ26" s="16" t="s">
        <v>245</v>
      </c>
      <c r="AK26" s="16" t="s">
        <v>243</v>
      </c>
      <c r="AL26" s="16" t="s">
        <v>243</v>
      </c>
      <c r="AM26" s="16" t="s">
        <v>251</v>
      </c>
      <c r="AN26" s="16" t="s">
        <v>251</v>
      </c>
      <c r="AO26" s="1">
        <f t="shared" ref="AO26:AO43" si="2">COUNTA(H26:V26)/10</f>
        <v>1.5</v>
      </c>
      <c r="AP26" s="1" t="s">
        <v>252</v>
      </c>
      <c r="AQ26" s="1" t="s">
        <v>253</v>
      </c>
      <c r="AR26" s="1" t="s">
        <v>254</v>
      </c>
    </row>
    <row r="27" spans="1:44" ht="90" x14ac:dyDescent="0.25">
      <c r="A27" s="4" t="s">
        <v>255</v>
      </c>
      <c r="B27" s="1" t="s">
        <v>256</v>
      </c>
      <c r="C27" s="1" t="s">
        <v>47</v>
      </c>
      <c r="D27" s="1" t="s">
        <v>257</v>
      </c>
      <c r="E27" s="1" t="s">
        <v>258</v>
      </c>
      <c r="G27" s="16">
        <v>20</v>
      </c>
      <c r="H27" s="16">
        <v>20</v>
      </c>
      <c r="I27" s="16" t="s">
        <v>259</v>
      </c>
      <c r="J27" s="16" t="s">
        <v>259</v>
      </c>
      <c r="K27" s="16" t="s">
        <v>259</v>
      </c>
      <c r="L27" s="16" t="s">
        <v>259</v>
      </c>
      <c r="M27" s="16" t="s">
        <v>259</v>
      </c>
      <c r="N27" s="16" t="s">
        <v>259</v>
      </c>
      <c r="O27" s="16" t="s">
        <v>259</v>
      </c>
      <c r="P27" s="16" t="s">
        <v>259</v>
      </c>
      <c r="Q27" s="16" t="s">
        <v>259</v>
      </c>
      <c r="R27" s="16" t="s">
        <v>259</v>
      </c>
      <c r="S27" s="16" t="s">
        <v>260</v>
      </c>
      <c r="T27" s="16" t="s">
        <v>260</v>
      </c>
      <c r="U27" s="16" t="s">
        <v>259</v>
      </c>
      <c r="V27" s="16" t="s">
        <v>259</v>
      </c>
      <c r="W27" s="16" t="s">
        <v>259</v>
      </c>
      <c r="X27" s="16" t="s">
        <v>259</v>
      </c>
      <c r="Y27" s="16" t="s">
        <v>259</v>
      </c>
      <c r="Z27" s="16" t="s">
        <v>259</v>
      </c>
      <c r="AA27" s="16" t="s">
        <v>259</v>
      </c>
      <c r="AB27" s="16" t="s">
        <v>259</v>
      </c>
      <c r="AC27" s="16" t="s">
        <v>259</v>
      </c>
      <c r="AD27" s="16" t="s">
        <v>259</v>
      </c>
      <c r="AE27" s="16" t="s">
        <v>259</v>
      </c>
      <c r="AF27" s="16" t="s">
        <v>259</v>
      </c>
      <c r="AG27" s="16" t="s">
        <v>259</v>
      </c>
      <c r="AH27" s="16" t="s">
        <v>259</v>
      </c>
      <c r="AI27" s="16" t="s">
        <v>259</v>
      </c>
      <c r="AJ27" s="16" t="s">
        <v>259</v>
      </c>
      <c r="AK27" s="16" t="s">
        <v>259</v>
      </c>
      <c r="AL27" s="16" t="s">
        <v>259</v>
      </c>
      <c r="AM27" s="16" t="s">
        <v>259</v>
      </c>
      <c r="AN27" s="16" t="s">
        <v>259</v>
      </c>
      <c r="AO27" s="1">
        <f t="shared" si="2"/>
        <v>1.5</v>
      </c>
      <c r="AP27" s="1" t="s">
        <v>261</v>
      </c>
      <c r="AQ27" s="1" t="s">
        <v>262</v>
      </c>
      <c r="AR27" s="1" t="s">
        <v>263</v>
      </c>
    </row>
    <row r="28" spans="1:44" ht="90" x14ac:dyDescent="0.25">
      <c r="A28" s="4" t="s">
        <v>264</v>
      </c>
      <c r="B28" s="1" t="s">
        <v>265</v>
      </c>
      <c r="C28" s="1" t="s">
        <v>47</v>
      </c>
      <c r="D28" s="1" t="s">
        <v>266</v>
      </c>
      <c r="E28" s="1" t="s">
        <v>267</v>
      </c>
      <c r="G28" s="16">
        <v>5</v>
      </c>
      <c r="H28" s="16">
        <v>5</v>
      </c>
      <c r="I28" s="16" t="s">
        <v>268</v>
      </c>
      <c r="J28" s="16" t="s">
        <v>268</v>
      </c>
      <c r="K28" s="16"/>
      <c r="L28" s="16"/>
      <c r="M28" s="16" t="s">
        <v>269</v>
      </c>
      <c r="N28" s="16" t="s">
        <v>269</v>
      </c>
      <c r="O28" s="16" t="s">
        <v>270</v>
      </c>
      <c r="P28" s="16" t="s">
        <v>270</v>
      </c>
      <c r="Q28" s="16" t="s">
        <v>268</v>
      </c>
      <c r="R28" s="16" t="s">
        <v>268</v>
      </c>
      <c r="S28" s="16" t="s">
        <v>271</v>
      </c>
      <c r="T28" s="16" t="s">
        <v>271</v>
      </c>
      <c r="U28" s="16" t="s">
        <v>268</v>
      </c>
      <c r="V28" s="16" t="s">
        <v>268</v>
      </c>
      <c r="W28" s="16" t="s">
        <v>272</v>
      </c>
      <c r="X28" s="16" t="s">
        <v>272</v>
      </c>
      <c r="Y28" s="16" t="s">
        <v>273</v>
      </c>
      <c r="Z28" s="16" t="s">
        <v>273</v>
      </c>
      <c r="AA28" s="16" t="s">
        <v>247</v>
      </c>
      <c r="AB28" s="16" t="s">
        <v>247</v>
      </c>
      <c r="AC28" s="16" t="s">
        <v>248</v>
      </c>
      <c r="AD28" s="16" t="s">
        <v>248</v>
      </c>
      <c r="AE28" s="16" t="s">
        <v>274</v>
      </c>
      <c r="AF28" s="16" t="s">
        <v>274</v>
      </c>
      <c r="AG28" s="16" t="s">
        <v>275</v>
      </c>
      <c r="AH28" s="16" t="s">
        <v>275</v>
      </c>
      <c r="AI28" s="16" t="s">
        <v>276</v>
      </c>
      <c r="AJ28" s="16" t="s">
        <v>276</v>
      </c>
      <c r="AK28" s="16" t="s">
        <v>277</v>
      </c>
      <c r="AL28" s="16" t="s">
        <v>277</v>
      </c>
      <c r="AM28" s="16" t="s">
        <v>278</v>
      </c>
      <c r="AN28" s="16" t="s">
        <v>278</v>
      </c>
      <c r="AO28" s="1">
        <f t="shared" si="2"/>
        <v>1.3</v>
      </c>
      <c r="AP28" s="1" t="s">
        <v>279</v>
      </c>
      <c r="AQ28" s="1" t="s">
        <v>280</v>
      </c>
      <c r="AR28" s="1" t="s">
        <v>281</v>
      </c>
    </row>
    <row r="29" spans="1:44" ht="75" x14ac:dyDescent="0.25">
      <c r="A29" s="4" t="s">
        <v>282</v>
      </c>
      <c r="B29" s="1" t="s">
        <v>283</v>
      </c>
      <c r="C29" s="1" t="s">
        <v>106</v>
      </c>
      <c r="D29" s="1" t="s">
        <v>284</v>
      </c>
      <c r="E29" s="1" t="s">
        <v>285</v>
      </c>
      <c r="G29" s="17" t="s">
        <v>286</v>
      </c>
      <c r="H29" s="17" t="s">
        <v>286</v>
      </c>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
        <f t="shared" si="2"/>
        <v>0.1</v>
      </c>
      <c r="AP29" s="1" t="s">
        <v>287</v>
      </c>
      <c r="AQ29" s="1" t="s">
        <v>288</v>
      </c>
      <c r="AR29" s="1" t="s">
        <v>289</v>
      </c>
    </row>
    <row r="30" spans="1:44" ht="60" x14ac:dyDescent="0.25">
      <c r="A30" s="4" t="s">
        <v>290</v>
      </c>
      <c r="B30" s="1" t="s">
        <v>291</v>
      </c>
      <c r="C30" s="1" t="s">
        <v>106</v>
      </c>
      <c r="D30" s="1" t="s">
        <v>48</v>
      </c>
      <c r="E30" s="1" t="s">
        <v>292</v>
      </c>
      <c r="G30" s="17" t="s">
        <v>293</v>
      </c>
      <c r="H30" s="17" t="s">
        <v>293</v>
      </c>
      <c r="I30" s="17"/>
      <c r="J30" s="17"/>
      <c r="K30" s="17"/>
      <c r="L30" s="17"/>
      <c r="M30" s="17"/>
      <c r="N30" s="17"/>
      <c r="O30" s="17"/>
      <c r="P30" s="17"/>
      <c r="Q30" s="17"/>
      <c r="R30" s="17"/>
      <c r="S30" s="17"/>
      <c r="T30" s="17"/>
      <c r="U30" s="17" t="s">
        <v>294</v>
      </c>
      <c r="V30" s="17" t="s">
        <v>294</v>
      </c>
      <c r="W30" s="17" t="s">
        <v>295</v>
      </c>
      <c r="X30" s="17" t="s">
        <v>295</v>
      </c>
      <c r="Y30" s="17"/>
      <c r="Z30" s="17"/>
      <c r="AA30" s="17"/>
      <c r="AB30" s="17"/>
      <c r="AC30" s="17"/>
      <c r="AD30" s="17"/>
      <c r="AE30" s="17"/>
      <c r="AF30" s="17"/>
      <c r="AG30" s="17"/>
      <c r="AH30" s="17"/>
      <c r="AI30" s="17"/>
      <c r="AJ30" s="17"/>
      <c r="AK30" s="17"/>
      <c r="AL30" s="17"/>
      <c r="AM30" s="17"/>
      <c r="AN30" s="17"/>
      <c r="AO30" s="1">
        <f t="shared" si="2"/>
        <v>0.3</v>
      </c>
      <c r="AP30" s="1" t="s">
        <v>296</v>
      </c>
      <c r="AQ30" s="1" t="s">
        <v>297</v>
      </c>
      <c r="AR30" s="1" t="s">
        <v>298</v>
      </c>
    </row>
    <row r="31" spans="1:44" ht="45.75" thickBot="1" x14ac:dyDescent="0.3">
      <c r="A31" s="4" t="s">
        <v>299</v>
      </c>
      <c r="B31" s="1" t="s">
        <v>300</v>
      </c>
      <c r="C31" s="1" t="s">
        <v>106</v>
      </c>
      <c r="D31" s="1" t="s">
        <v>48</v>
      </c>
      <c r="E31" s="1" t="s">
        <v>301</v>
      </c>
      <c r="G31" s="18" t="s">
        <v>302</v>
      </c>
      <c r="H31" s="18" t="s">
        <v>302</v>
      </c>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
        <f t="shared" si="2"/>
        <v>0.1</v>
      </c>
      <c r="AP31" s="1" t="s">
        <v>296</v>
      </c>
      <c r="AQ31" s="1" t="s">
        <v>303</v>
      </c>
      <c r="AR31" s="1" t="s">
        <v>304</v>
      </c>
    </row>
    <row r="32" spans="1:44" ht="315.75" thickBot="1" x14ac:dyDescent="0.3">
      <c r="A32" s="4" t="s">
        <v>305</v>
      </c>
      <c r="B32" s="1" t="s">
        <v>306</v>
      </c>
      <c r="C32" s="1" t="s">
        <v>47</v>
      </c>
      <c r="D32" s="1" t="s">
        <v>68</v>
      </c>
      <c r="E32" s="1" t="s">
        <v>307</v>
      </c>
      <c r="G32" s="19" t="s">
        <v>308</v>
      </c>
      <c r="H32" s="19" t="s">
        <v>308</v>
      </c>
      <c r="I32" s="19"/>
      <c r="J32" s="19" t="s">
        <v>309</v>
      </c>
      <c r="K32" s="19"/>
      <c r="L32" s="19" t="s">
        <v>310</v>
      </c>
      <c r="M32" s="19"/>
      <c r="N32" s="19" t="s">
        <v>311</v>
      </c>
      <c r="O32" s="19"/>
      <c r="P32" s="19" t="s">
        <v>311</v>
      </c>
      <c r="Q32" s="19"/>
      <c r="R32" s="19" t="s">
        <v>308</v>
      </c>
      <c r="S32" s="19"/>
      <c r="T32" s="19" t="s">
        <v>312</v>
      </c>
      <c r="U32" s="19"/>
      <c r="V32" s="19" t="s">
        <v>313</v>
      </c>
      <c r="W32" s="19"/>
      <c r="X32" s="19" t="s">
        <v>314</v>
      </c>
      <c r="Y32" s="19"/>
      <c r="Z32" s="19"/>
      <c r="AA32" s="19"/>
      <c r="AB32" s="19"/>
      <c r="AC32" s="19"/>
      <c r="AD32" s="19"/>
      <c r="AE32" s="19"/>
      <c r="AF32" s="19"/>
      <c r="AG32" s="19"/>
      <c r="AH32" s="19" t="s">
        <v>315</v>
      </c>
      <c r="AI32" s="19"/>
      <c r="AJ32" s="19" t="s">
        <v>316</v>
      </c>
      <c r="AK32" s="19"/>
      <c r="AL32" s="19"/>
      <c r="AM32" s="19"/>
      <c r="AN32" s="19"/>
      <c r="AO32" s="1">
        <f t="shared" si="2"/>
        <v>0.8</v>
      </c>
      <c r="AP32" s="1" t="s">
        <v>317</v>
      </c>
      <c r="AQ32" s="1" t="s">
        <v>318</v>
      </c>
      <c r="AR32" s="1" t="s">
        <v>319</v>
      </c>
    </row>
    <row r="33" spans="1:44" ht="90.75" thickBot="1" x14ac:dyDescent="0.3">
      <c r="A33" s="4" t="s">
        <v>320</v>
      </c>
      <c r="B33" s="1" t="s">
        <v>321</v>
      </c>
      <c r="C33" s="1" t="s">
        <v>47</v>
      </c>
      <c r="D33" s="1" t="s">
        <v>322</v>
      </c>
      <c r="E33" s="1" t="s">
        <v>323</v>
      </c>
      <c r="F33" s="1" t="s">
        <v>324</v>
      </c>
      <c r="G33" s="19">
        <v>10</v>
      </c>
      <c r="H33" s="19">
        <v>10</v>
      </c>
      <c r="I33" s="19" t="s">
        <v>325</v>
      </c>
      <c r="J33" s="19" t="s">
        <v>325</v>
      </c>
      <c r="K33" s="19" t="s">
        <v>326</v>
      </c>
      <c r="L33" s="19" t="s">
        <v>326</v>
      </c>
      <c r="M33" s="19" t="s">
        <v>327</v>
      </c>
      <c r="N33" s="19" t="s">
        <v>327</v>
      </c>
      <c r="O33" s="19" t="s">
        <v>328</v>
      </c>
      <c r="P33" s="19" t="s">
        <v>328</v>
      </c>
      <c r="Q33" s="19" t="s">
        <v>325</v>
      </c>
      <c r="R33" s="19" t="s">
        <v>325</v>
      </c>
      <c r="S33" s="19" t="s">
        <v>260</v>
      </c>
      <c r="T33" s="19" t="s">
        <v>260</v>
      </c>
      <c r="U33" s="19" t="s">
        <v>329</v>
      </c>
      <c r="V33" s="19" t="s">
        <v>329</v>
      </c>
      <c r="W33" s="19" t="s">
        <v>330</v>
      </c>
      <c r="X33" s="19" t="s">
        <v>330</v>
      </c>
      <c r="Y33" s="19" t="s">
        <v>327</v>
      </c>
      <c r="Z33" s="19" t="s">
        <v>327</v>
      </c>
      <c r="AA33" s="19" t="s">
        <v>331</v>
      </c>
      <c r="AB33" s="19" t="s">
        <v>331</v>
      </c>
      <c r="AC33" s="19" t="s">
        <v>332</v>
      </c>
      <c r="AD33" s="19" t="s">
        <v>332</v>
      </c>
      <c r="AE33" s="19" t="s">
        <v>333</v>
      </c>
      <c r="AF33" s="19" t="s">
        <v>333</v>
      </c>
      <c r="AG33" s="19" t="s">
        <v>334</v>
      </c>
      <c r="AH33" s="19" t="s">
        <v>334</v>
      </c>
      <c r="AI33" s="19" t="s">
        <v>334</v>
      </c>
      <c r="AJ33" s="19" t="s">
        <v>334</v>
      </c>
      <c r="AK33" s="19" t="s">
        <v>330</v>
      </c>
      <c r="AL33" s="19" t="s">
        <v>330</v>
      </c>
      <c r="AM33" s="19" t="s">
        <v>330</v>
      </c>
      <c r="AN33" s="19" t="s">
        <v>330</v>
      </c>
      <c r="AO33" s="1">
        <f t="shared" si="2"/>
        <v>1.5</v>
      </c>
      <c r="AP33" s="1" t="s">
        <v>335</v>
      </c>
      <c r="AQ33" s="1" t="s">
        <v>336</v>
      </c>
      <c r="AR33" s="1" t="s">
        <v>337</v>
      </c>
    </row>
    <row r="34" spans="1:44" ht="45.75" thickBot="1" x14ac:dyDescent="0.3">
      <c r="A34" s="4" t="s">
        <v>338</v>
      </c>
      <c r="B34" s="1" t="s">
        <v>339</v>
      </c>
      <c r="C34" s="1" t="s">
        <v>47</v>
      </c>
      <c r="D34" s="1" t="s">
        <v>68</v>
      </c>
      <c r="E34" s="1" t="s">
        <v>340</v>
      </c>
      <c r="F34" s="1" t="s">
        <v>324</v>
      </c>
      <c r="G34" s="19" t="s">
        <v>341</v>
      </c>
      <c r="H34" s="19" t="s">
        <v>341</v>
      </c>
      <c r="I34" s="19" t="s">
        <v>342</v>
      </c>
      <c r="J34" s="19" t="s">
        <v>342</v>
      </c>
      <c r="K34" s="19" t="s">
        <v>342</v>
      </c>
      <c r="L34" s="19" t="s">
        <v>342</v>
      </c>
      <c r="M34" s="19" t="s">
        <v>342</v>
      </c>
      <c r="N34" s="19" t="s">
        <v>342</v>
      </c>
      <c r="O34" s="19" t="s">
        <v>342</v>
      </c>
      <c r="P34" s="19" t="s">
        <v>342</v>
      </c>
      <c r="Q34" s="19" t="s">
        <v>342</v>
      </c>
      <c r="R34" s="19" t="s">
        <v>342</v>
      </c>
      <c r="S34" s="19" t="s">
        <v>342</v>
      </c>
      <c r="T34" s="19" t="s">
        <v>342</v>
      </c>
      <c r="U34" s="19" t="s">
        <v>342</v>
      </c>
      <c r="V34" s="19" t="s">
        <v>342</v>
      </c>
      <c r="W34" s="19" t="s">
        <v>342</v>
      </c>
      <c r="X34" s="19" t="s">
        <v>342</v>
      </c>
      <c r="Y34" s="19" t="s">
        <v>342</v>
      </c>
      <c r="Z34" s="19" t="s">
        <v>342</v>
      </c>
      <c r="AA34" s="19" t="s">
        <v>342</v>
      </c>
      <c r="AB34" s="19" t="s">
        <v>342</v>
      </c>
      <c r="AC34" s="19" t="s">
        <v>342</v>
      </c>
      <c r="AD34" s="19" t="s">
        <v>342</v>
      </c>
      <c r="AE34" s="19" t="s">
        <v>342</v>
      </c>
      <c r="AF34" s="19" t="s">
        <v>342</v>
      </c>
      <c r="AG34" s="19" t="s">
        <v>342</v>
      </c>
      <c r="AH34" s="19" t="s">
        <v>342</v>
      </c>
      <c r="AI34" s="19" t="s">
        <v>342</v>
      </c>
      <c r="AJ34" s="19" t="s">
        <v>342</v>
      </c>
      <c r="AK34" s="19" t="s">
        <v>342</v>
      </c>
      <c r="AL34" s="19" t="s">
        <v>342</v>
      </c>
      <c r="AM34" s="19" t="s">
        <v>342</v>
      </c>
      <c r="AN34" s="19" t="s">
        <v>342</v>
      </c>
      <c r="AO34" s="1">
        <f t="shared" si="2"/>
        <v>1.5</v>
      </c>
      <c r="AP34" s="1" t="s">
        <v>343</v>
      </c>
      <c r="AQ34" s="1" t="s">
        <v>344</v>
      </c>
      <c r="AR34" s="1" t="s">
        <v>345</v>
      </c>
    </row>
    <row r="35" spans="1:44" ht="45.75" thickBot="1" x14ac:dyDescent="0.3">
      <c r="A35" s="4" t="s">
        <v>346</v>
      </c>
      <c r="B35" s="1" t="s">
        <v>347</v>
      </c>
      <c r="C35" s="1" t="s">
        <v>106</v>
      </c>
      <c r="D35" s="1" t="s">
        <v>348</v>
      </c>
      <c r="E35" s="1" t="s">
        <v>349</v>
      </c>
      <c r="F35" s="1" t="s">
        <v>324</v>
      </c>
      <c r="G35" s="20" t="s">
        <v>350</v>
      </c>
      <c r="H35" s="20" t="s">
        <v>350</v>
      </c>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1">
        <f t="shared" si="2"/>
        <v>0.1</v>
      </c>
      <c r="AP35" s="1" t="s">
        <v>343</v>
      </c>
      <c r="AQ35" s="1" t="s">
        <v>351</v>
      </c>
      <c r="AR35" s="1" t="s">
        <v>352</v>
      </c>
    </row>
    <row r="36" spans="1:44" ht="45.75" thickBot="1" x14ac:dyDescent="0.3">
      <c r="A36" s="4" t="s">
        <v>353</v>
      </c>
      <c r="B36" s="1" t="s">
        <v>354</v>
      </c>
      <c r="C36" s="1" t="s">
        <v>106</v>
      </c>
      <c r="D36" s="1" t="s">
        <v>348</v>
      </c>
      <c r="E36" s="1" t="s">
        <v>349</v>
      </c>
      <c r="F36" s="1" t="s">
        <v>324</v>
      </c>
      <c r="G36" s="20" t="s">
        <v>355</v>
      </c>
      <c r="H36" s="20" t="s">
        <v>355</v>
      </c>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1">
        <f t="shared" si="2"/>
        <v>0.1</v>
      </c>
      <c r="AP36" s="1" t="s">
        <v>343</v>
      </c>
      <c r="AQ36" s="1" t="s">
        <v>356</v>
      </c>
      <c r="AR36" s="1" t="s">
        <v>357</v>
      </c>
    </row>
    <row r="37" spans="1:44" ht="75.75" thickBot="1" x14ac:dyDescent="0.3">
      <c r="A37" s="4" t="s">
        <v>358</v>
      </c>
      <c r="B37" s="1" t="s">
        <v>359</v>
      </c>
      <c r="C37" s="1" t="s">
        <v>47</v>
      </c>
      <c r="D37" s="1" t="s">
        <v>68</v>
      </c>
      <c r="E37" s="1" t="s">
        <v>360</v>
      </c>
      <c r="F37" s="1" t="s">
        <v>324</v>
      </c>
      <c r="G37" s="19" t="s">
        <v>361</v>
      </c>
      <c r="H37" s="19" t="s">
        <v>361</v>
      </c>
      <c r="I37" s="19"/>
      <c r="J37" s="19"/>
      <c r="K37" s="19"/>
      <c r="L37" s="19"/>
      <c r="M37" s="19"/>
      <c r="N37" s="19"/>
      <c r="O37" s="19"/>
      <c r="P37" s="19"/>
      <c r="Q37" s="19"/>
      <c r="R37" s="19"/>
      <c r="S37" s="19"/>
      <c r="T37" s="19"/>
      <c r="U37" s="19" t="s">
        <v>362</v>
      </c>
      <c r="V37" s="19" t="s">
        <v>362</v>
      </c>
      <c r="W37" s="19"/>
      <c r="X37" s="19"/>
      <c r="Y37" s="19"/>
      <c r="Z37" s="19"/>
      <c r="AA37" s="19"/>
      <c r="AB37" s="19"/>
      <c r="AC37" s="19"/>
      <c r="AD37" s="19"/>
      <c r="AE37" s="19"/>
      <c r="AF37" s="19"/>
      <c r="AG37" s="19"/>
      <c r="AH37" s="19"/>
      <c r="AI37" s="19"/>
      <c r="AJ37" s="19"/>
      <c r="AK37" s="19"/>
      <c r="AL37" s="19"/>
      <c r="AM37" s="19"/>
      <c r="AN37" s="19"/>
      <c r="AO37" s="1">
        <f t="shared" si="2"/>
        <v>0.3</v>
      </c>
      <c r="AP37" s="1" t="s">
        <v>343</v>
      </c>
      <c r="AQ37" s="1" t="s">
        <v>363</v>
      </c>
      <c r="AR37" s="1" t="s">
        <v>364</v>
      </c>
    </row>
    <row r="38" spans="1:44" ht="90.75" thickBot="1" x14ac:dyDescent="0.3">
      <c r="A38" s="4" t="s">
        <v>365</v>
      </c>
      <c r="B38" s="1" t="s">
        <v>366</v>
      </c>
      <c r="C38" s="1" t="s">
        <v>106</v>
      </c>
      <c r="D38" s="1" t="s">
        <v>68</v>
      </c>
      <c r="E38" s="1" t="s">
        <v>367</v>
      </c>
      <c r="F38" s="1" t="s">
        <v>324</v>
      </c>
      <c r="G38" s="20" t="s">
        <v>368</v>
      </c>
      <c r="H38" s="20" t="s">
        <v>368</v>
      </c>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1">
        <f t="shared" si="2"/>
        <v>0.1</v>
      </c>
      <c r="AP38" s="1" t="s">
        <v>343</v>
      </c>
      <c r="AQ38" s="1" t="s">
        <v>369</v>
      </c>
      <c r="AR38" s="1" t="s">
        <v>370</v>
      </c>
    </row>
    <row r="39" spans="1:44" ht="45.75" thickBot="1" x14ac:dyDescent="0.3">
      <c r="A39" s="4" t="s">
        <v>371</v>
      </c>
      <c r="B39" s="1" t="s">
        <v>372</v>
      </c>
      <c r="C39" s="1" t="s">
        <v>106</v>
      </c>
      <c r="D39" s="1" t="s">
        <v>68</v>
      </c>
      <c r="E39" s="1" t="s">
        <v>373</v>
      </c>
      <c r="F39" s="1" t="s">
        <v>324</v>
      </c>
      <c r="G39" s="20" t="s">
        <v>374</v>
      </c>
      <c r="H39" s="20" t="s">
        <v>374</v>
      </c>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1">
        <f t="shared" si="2"/>
        <v>0.1</v>
      </c>
      <c r="AP39" s="1" t="s">
        <v>343</v>
      </c>
      <c r="AQ39" s="1" t="s">
        <v>375</v>
      </c>
      <c r="AR39" s="1" t="s">
        <v>376</v>
      </c>
    </row>
    <row r="40" spans="1:44" ht="60.75" thickBot="1" x14ac:dyDescent="0.3">
      <c r="A40" s="4" t="s">
        <v>377</v>
      </c>
      <c r="B40" s="1" t="s">
        <v>378</v>
      </c>
      <c r="C40" s="1" t="s">
        <v>47</v>
      </c>
      <c r="D40" s="1" t="s">
        <v>68</v>
      </c>
      <c r="E40" s="1" t="s">
        <v>379</v>
      </c>
      <c r="F40" s="1" t="s">
        <v>324</v>
      </c>
      <c r="G40" s="19" t="s">
        <v>380</v>
      </c>
      <c r="H40" s="19" t="s">
        <v>381</v>
      </c>
      <c r="I40" s="19"/>
      <c r="J40" s="19" t="s">
        <v>382</v>
      </c>
      <c r="K40" s="19"/>
      <c r="L40" s="19" t="s">
        <v>381</v>
      </c>
      <c r="M40" s="19"/>
      <c r="N40" s="19" t="s">
        <v>383</v>
      </c>
      <c r="O40" s="19"/>
      <c r="P40" s="19" t="s">
        <v>383</v>
      </c>
      <c r="Q40" s="19"/>
      <c r="R40" s="19" t="s">
        <v>382</v>
      </c>
      <c r="S40" s="19"/>
      <c r="T40" s="19" t="s">
        <v>384</v>
      </c>
      <c r="U40" s="19"/>
      <c r="V40" s="19" t="s">
        <v>385</v>
      </c>
      <c r="W40" s="19"/>
      <c r="X40" s="19" t="s">
        <v>386</v>
      </c>
      <c r="Y40" s="19"/>
      <c r="Z40" s="19"/>
      <c r="AA40" s="19"/>
      <c r="AB40" s="19"/>
      <c r="AC40" s="19"/>
      <c r="AD40" s="19"/>
      <c r="AE40" s="19"/>
      <c r="AF40" s="19"/>
      <c r="AG40" s="19"/>
      <c r="AH40" s="19" t="s">
        <v>387</v>
      </c>
      <c r="AI40" s="19"/>
      <c r="AJ40" s="19" t="s">
        <v>386</v>
      </c>
      <c r="AK40" s="19"/>
      <c r="AL40" s="19"/>
      <c r="AM40" s="19"/>
      <c r="AN40" s="19"/>
      <c r="AO40" s="1">
        <f t="shared" si="2"/>
        <v>0.8</v>
      </c>
      <c r="AP40" s="1" t="s">
        <v>343</v>
      </c>
      <c r="AQ40" s="1" t="s">
        <v>388</v>
      </c>
      <c r="AR40" s="1" t="s">
        <v>389</v>
      </c>
    </row>
    <row r="41" spans="1:44" ht="45.75" thickBot="1" x14ac:dyDescent="0.3">
      <c r="A41" s="4" t="s">
        <v>390</v>
      </c>
      <c r="B41" s="1" t="s">
        <v>391</v>
      </c>
      <c r="C41" s="1" t="s">
        <v>47</v>
      </c>
      <c r="D41" s="1" t="s">
        <v>392</v>
      </c>
      <c r="E41" s="1" t="s">
        <v>393</v>
      </c>
      <c r="F41" s="1" t="s">
        <v>324</v>
      </c>
      <c r="G41" s="19" t="s">
        <v>394</v>
      </c>
      <c r="H41" s="19" t="s">
        <v>394</v>
      </c>
      <c r="I41" s="19" t="s">
        <v>260</v>
      </c>
      <c r="J41" s="19" t="s">
        <v>260</v>
      </c>
      <c r="K41" s="19"/>
      <c r="L41" s="19"/>
      <c r="M41" s="19"/>
      <c r="N41" s="19"/>
      <c r="O41" s="19"/>
      <c r="P41" s="19"/>
      <c r="Q41" s="19" t="s">
        <v>260</v>
      </c>
      <c r="R41" s="19" t="s">
        <v>260</v>
      </c>
      <c r="S41" s="19" t="s">
        <v>395</v>
      </c>
      <c r="T41" s="19" t="s">
        <v>395</v>
      </c>
      <c r="U41" s="19"/>
      <c r="V41" s="19"/>
      <c r="W41" s="19" t="s">
        <v>396</v>
      </c>
      <c r="X41" s="19" t="s">
        <v>396</v>
      </c>
      <c r="Y41" s="19" t="s">
        <v>397</v>
      </c>
      <c r="Z41" s="19" t="s">
        <v>397</v>
      </c>
      <c r="AA41" s="19" t="s">
        <v>398</v>
      </c>
      <c r="AB41" s="19" t="s">
        <v>398</v>
      </c>
      <c r="AC41" s="19" t="s">
        <v>399</v>
      </c>
      <c r="AD41" s="19" t="s">
        <v>399</v>
      </c>
      <c r="AE41" s="19"/>
      <c r="AF41" s="19"/>
      <c r="AG41" s="19"/>
      <c r="AH41" s="19"/>
      <c r="AI41" s="19"/>
      <c r="AJ41" s="19"/>
      <c r="AK41" s="19"/>
      <c r="AL41" s="19"/>
      <c r="AM41" s="19"/>
      <c r="AN41" s="19"/>
      <c r="AO41" s="1">
        <f t="shared" si="2"/>
        <v>0.7</v>
      </c>
      <c r="AP41" s="1" t="s">
        <v>400</v>
      </c>
      <c r="AQ41" s="1" t="s">
        <v>401</v>
      </c>
      <c r="AR41" s="1" t="s">
        <v>402</v>
      </c>
    </row>
    <row r="42" spans="1:44" ht="45.75" thickBot="1" x14ac:dyDescent="0.3">
      <c r="A42" s="4" t="s">
        <v>403</v>
      </c>
      <c r="B42" s="1" t="s">
        <v>404</v>
      </c>
      <c r="C42" s="1" t="s">
        <v>47</v>
      </c>
      <c r="D42" s="1" t="s">
        <v>392</v>
      </c>
      <c r="E42" s="1" t="s">
        <v>405</v>
      </c>
      <c r="F42" s="1" t="s">
        <v>324</v>
      </c>
      <c r="G42" s="19">
        <v>10</v>
      </c>
      <c r="H42" s="19">
        <v>10</v>
      </c>
      <c r="I42" s="19" t="s">
        <v>326</v>
      </c>
      <c r="J42" s="19" t="s">
        <v>326</v>
      </c>
      <c r="K42" s="19"/>
      <c r="L42" s="19"/>
      <c r="M42" s="19"/>
      <c r="N42" s="19"/>
      <c r="O42" s="19"/>
      <c r="P42" s="19"/>
      <c r="Q42" s="19" t="s">
        <v>326</v>
      </c>
      <c r="R42" s="19" t="s">
        <v>326</v>
      </c>
      <c r="S42" s="19"/>
      <c r="T42" s="19"/>
      <c r="U42" s="19"/>
      <c r="V42" s="19"/>
      <c r="W42" s="19" t="s">
        <v>406</v>
      </c>
      <c r="X42" s="19" t="s">
        <v>406</v>
      </c>
      <c r="Y42" s="19" t="s">
        <v>407</v>
      </c>
      <c r="Z42" s="19" t="s">
        <v>407</v>
      </c>
      <c r="AA42" s="19" t="s">
        <v>408</v>
      </c>
      <c r="AB42" s="19" t="s">
        <v>408</v>
      </c>
      <c r="AC42" s="19" t="s">
        <v>406</v>
      </c>
      <c r="AD42" s="19" t="s">
        <v>406</v>
      </c>
      <c r="AE42" s="19"/>
      <c r="AF42" s="19"/>
      <c r="AG42" s="19"/>
      <c r="AH42" s="19"/>
      <c r="AI42" s="19"/>
      <c r="AJ42" s="19"/>
      <c r="AK42" s="19"/>
      <c r="AL42" s="19"/>
      <c r="AM42" s="19"/>
      <c r="AN42" s="19"/>
      <c r="AO42" s="1">
        <f t="shared" si="2"/>
        <v>0.5</v>
      </c>
      <c r="AP42" s="1" t="s">
        <v>400</v>
      </c>
      <c r="AQ42" s="1" t="s">
        <v>409</v>
      </c>
      <c r="AR42" s="1" t="s">
        <v>410</v>
      </c>
    </row>
    <row r="43" spans="1:44" ht="75.75" thickBot="1" x14ac:dyDescent="0.3">
      <c r="A43" s="4" t="s">
        <v>411</v>
      </c>
      <c r="B43" s="1" t="s">
        <v>412</v>
      </c>
      <c r="C43" s="1" t="s">
        <v>106</v>
      </c>
      <c r="D43" s="1" t="s">
        <v>413</v>
      </c>
      <c r="E43" s="1" t="s">
        <v>414</v>
      </c>
      <c r="F43" s="1" t="s">
        <v>324</v>
      </c>
      <c r="G43" s="20" t="s">
        <v>415</v>
      </c>
      <c r="H43" s="20" t="s">
        <v>415</v>
      </c>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1">
        <f t="shared" si="2"/>
        <v>0.1</v>
      </c>
      <c r="AP43" s="1" t="s">
        <v>343</v>
      </c>
      <c r="AQ43" s="1" t="s">
        <v>416</v>
      </c>
      <c r="AR43" s="1" t="s">
        <v>417</v>
      </c>
    </row>
    <row r="44" spans="1:44" x14ac:dyDescent="0.25">
      <c r="A44" s="4"/>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row>
    <row r="45" spans="1:44" x14ac:dyDescent="0.25">
      <c r="A45" s="5" t="s">
        <v>418</v>
      </c>
      <c r="B45" s="5"/>
      <c r="C45" s="5"/>
      <c r="D45" s="5"/>
      <c r="E45" s="5"/>
      <c r="F45" s="5"/>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5"/>
      <c r="AP45" s="5"/>
      <c r="AQ45" s="5"/>
      <c r="AR45" s="5"/>
    </row>
    <row r="46" spans="1:44" ht="105" x14ac:dyDescent="0.25">
      <c r="A46" s="4" t="s">
        <v>419</v>
      </c>
      <c r="B46" s="1" t="s">
        <v>420</v>
      </c>
      <c r="C46" s="1" t="s">
        <v>47</v>
      </c>
      <c r="D46" s="1" t="s">
        <v>68</v>
      </c>
      <c r="E46" s="1" t="s">
        <v>421</v>
      </c>
      <c r="G46" s="22" t="s">
        <v>422</v>
      </c>
      <c r="H46" s="22" t="s">
        <v>422</v>
      </c>
      <c r="I46" s="22" t="s">
        <v>423</v>
      </c>
      <c r="J46" s="22" t="s">
        <v>423</v>
      </c>
      <c r="K46" s="22" t="s">
        <v>424</v>
      </c>
      <c r="L46" s="22" t="s">
        <v>424</v>
      </c>
      <c r="M46" s="22"/>
      <c r="N46" s="22"/>
      <c r="O46" s="22"/>
      <c r="P46" s="22"/>
      <c r="Q46" s="22" t="s">
        <v>423</v>
      </c>
      <c r="R46" s="22" t="s">
        <v>423</v>
      </c>
      <c r="S46" s="22"/>
      <c r="T46" s="22"/>
      <c r="U46" s="22" t="s">
        <v>423</v>
      </c>
      <c r="V46" s="22" t="s">
        <v>423</v>
      </c>
      <c r="W46" s="22"/>
      <c r="X46" s="22"/>
      <c r="Y46" s="22" t="s">
        <v>425</v>
      </c>
      <c r="Z46" s="22" t="s">
        <v>425</v>
      </c>
      <c r="AA46" s="22" t="s">
        <v>425</v>
      </c>
      <c r="AB46" s="22" t="s">
        <v>425</v>
      </c>
      <c r="AC46" s="22" t="s">
        <v>425</v>
      </c>
      <c r="AD46" s="22" t="s">
        <v>425</v>
      </c>
      <c r="AE46" s="22" t="s">
        <v>425</v>
      </c>
      <c r="AF46" s="22" t="s">
        <v>425</v>
      </c>
      <c r="AG46" s="22" t="s">
        <v>425</v>
      </c>
      <c r="AH46" s="22" t="s">
        <v>425</v>
      </c>
      <c r="AI46" s="22" t="s">
        <v>425</v>
      </c>
      <c r="AJ46" s="22" t="s">
        <v>425</v>
      </c>
      <c r="AK46" s="22" t="s">
        <v>425</v>
      </c>
      <c r="AL46" s="22" t="s">
        <v>425</v>
      </c>
      <c r="AM46" s="22" t="s">
        <v>425</v>
      </c>
      <c r="AN46" s="22" t="s">
        <v>425</v>
      </c>
      <c r="AO46" s="1">
        <f t="shared" ref="AO46:AO56" si="3">COUNTA(H46:V46)/10</f>
        <v>0.9</v>
      </c>
      <c r="AP46" s="1" t="s">
        <v>426</v>
      </c>
      <c r="AQ46" s="1" t="s">
        <v>427</v>
      </c>
      <c r="AR46" s="1" t="s">
        <v>428</v>
      </c>
    </row>
    <row r="47" spans="1:44" ht="60" x14ac:dyDescent="0.25">
      <c r="A47" s="4" t="s">
        <v>429</v>
      </c>
      <c r="B47" s="1" t="s">
        <v>430</v>
      </c>
      <c r="C47" s="1" t="s">
        <v>47</v>
      </c>
      <c r="D47" s="1" t="s">
        <v>68</v>
      </c>
      <c r="E47" s="1" t="s">
        <v>431</v>
      </c>
      <c r="G47" s="22" t="s">
        <v>432</v>
      </c>
      <c r="H47" s="22" t="s">
        <v>432</v>
      </c>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1">
        <f t="shared" si="3"/>
        <v>0.1</v>
      </c>
      <c r="AP47" s="1" t="s">
        <v>287</v>
      </c>
      <c r="AQ47" s="1" t="s">
        <v>433</v>
      </c>
      <c r="AR47" s="1" t="s">
        <v>434</v>
      </c>
    </row>
    <row r="48" spans="1:44" ht="45" x14ac:dyDescent="0.25">
      <c r="A48" s="4" t="s">
        <v>435</v>
      </c>
      <c r="B48" s="1" t="s">
        <v>436</v>
      </c>
      <c r="C48" s="1" t="s">
        <v>106</v>
      </c>
      <c r="D48" s="1" t="s">
        <v>437</v>
      </c>
      <c r="E48" s="1" t="s">
        <v>438</v>
      </c>
      <c r="G48" s="23" t="s">
        <v>439</v>
      </c>
      <c r="H48" s="23" t="s">
        <v>439</v>
      </c>
      <c r="I48" s="23"/>
      <c r="J48" s="23"/>
      <c r="K48" s="23"/>
      <c r="L48" s="23"/>
      <c r="M48" s="23"/>
      <c r="N48" s="23"/>
      <c r="O48" s="23"/>
      <c r="P48" s="23"/>
      <c r="Q48" s="23"/>
      <c r="R48" s="23"/>
      <c r="S48" s="23"/>
      <c r="T48" s="23"/>
      <c r="U48" s="23" t="s">
        <v>440</v>
      </c>
      <c r="V48" s="23" t="s">
        <v>440</v>
      </c>
      <c r="W48" s="23" t="s">
        <v>441</v>
      </c>
      <c r="X48" s="23" t="s">
        <v>441</v>
      </c>
      <c r="Y48" s="23"/>
      <c r="Z48" s="23"/>
      <c r="AA48" s="23"/>
      <c r="AB48" s="23"/>
      <c r="AC48" s="23"/>
      <c r="AD48" s="23"/>
      <c r="AE48" s="23"/>
      <c r="AF48" s="23"/>
      <c r="AG48" s="23"/>
      <c r="AH48" s="23"/>
      <c r="AI48" s="23"/>
      <c r="AJ48" s="23"/>
      <c r="AK48" s="23"/>
      <c r="AL48" s="23"/>
      <c r="AM48" s="23"/>
      <c r="AN48" s="23"/>
      <c r="AO48" s="1">
        <f t="shared" si="3"/>
        <v>0.3</v>
      </c>
      <c r="AP48" s="1" t="s">
        <v>287</v>
      </c>
      <c r="AQ48" s="1" t="s">
        <v>442</v>
      </c>
      <c r="AR48" s="1" t="s">
        <v>443</v>
      </c>
    </row>
    <row r="49" spans="1:44" ht="105" x14ac:dyDescent="0.25">
      <c r="A49" s="4" t="s">
        <v>444</v>
      </c>
      <c r="B49" s="1" t="s">
        <v>445</v>
      </c>
      <c r="C49" s="1" t="s">
        <v>47</v>
      </c>
      <c r="D49" s="1" t="s">
        <v>68</v>
      </c>
      <c r="E49" s="1" t="s">
        <v>446</v>
      </c>
      <c r="G49" s="22" t="s">
        <v>447</v>
      </c>
      <c r="H49" s="22" t="s">
        <v>447</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1">
        <f t="shared" si="3"/>
        <v>0.1</v>
      </c>
      <c r="AP49" s="1" t="s">
        <v>287</v>
      </c>
      <c r="AQ49" s="1" t="s">
        <v>448</v>
      </c>
      <c r="AR49" s="1" t="s">
        <v>449</v>
      </c>
    </row>
    <row r="50" spans="1:44" ht="75.75" thickBot="1" x14ac:dyDescent="0.3">
      <c r="A50" s="4" t="s">
        <v>450</v>
      </c>
      <c r="B50" s="1" t="s">
        <v>451</v>
      </c>
      <c r="C50" s="1" t="s">
        <v>106</v>
      </c>
      <c r="D50" s="1" t="s">
        <v>68</v>
      </c>
      <c r="E50" s="1" t="s">
        <v>452</v>
      </c>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1">
        <f t="shared" si="3"/>
        <v>0</v>
      </c>
      <c r="AP50" s="1" t="s">
        <v>287</v>
      </c>
      <c r="AQ50" s="1" t="s">
        <v>453</v>
      </c>
      <c r="AR50" s="1" t="s">
        <v>454</v>
      </c>
    </row>
    <row r="51" spans="1:44" ht="45.75" thickBot="1" x14ac:dyDescent="0.3">
      <c r="A51" s="4" t="s">
        <v>455</v>
      </c>
      <c r="B51" s="1" t="s">
        <v>456</v>
      </c>
      <c r="C51" s="1" t="s">
        <v>106</v>
      </c>
      <c r="D51" s="1" t="s">
        <v>48</v>
      </c>
      <c r="E51" s="1" t="s">
        <v>457</v>
      </c>
      <c r="F51" s="1" t="s">
        <v>324</v>
      </c>
      <c r="G51" s="24" t="s">
        <v>458</v>
      </c>
      <c r="H51" s="24" t="s">
        <v>458</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1">
        <f t="shared" si="3"/>
        <v>0.1</v>
      </c>
      <c r="AP51" s="1" t="s">
        <v>343</v>
      </c>
      <c r="AQ51" s="1" t="s">
        <v>459</v>
      </c>
      <c r="AR51" s="1" t="s">
        <v>460</v>
      </c>
    </row>
    <row r="52" spans="1:44" ht="60.75" thickBot="1" x14ac:dyDescent="0.3">
      <c r="A52" s="4" t="s">
        <v>461</v>
      </c>
      <c r="B52" s="1" t="s">
        <v>462</v>
      </c>
      <c r="C52" s="1" t="s">
        <v>106</v>
      </c>
      <c r="D52" s="1" t="s">
        <v>48</v>
      </c>
      <c r="E52" s="1" t="s">
        <v>463</v>
      </c>
      <c r="F52" s="1" t="s">
        <v>324</v>
      </c>
      <c r="G52" s="24" t="s">
        <v>464</v>
      </c>
      <c r="H52" s="24" t="s">
        <v>464</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1">
        <f t="shared" si="3"/>
        <v>0.1</v>
      </c>
      <c r="AP52" s="1" t="s">
        <v>343</v>
      </c>
      <c r="AQ52" s="1" t="s">
        <v>465</v>
      </c>
      <c r="AR52" s="1" t="s">
        <v>466</v>
      </c>
    </row>
    <row r="53" spans="1:44" ht="45.75" thickBot="1" x14ac:dyDescent="0.3">
      <c r="A53" s="4" t="s">
        <v>467</v>
      </c>
      <c r="B53" s="1" t="s">
        <v>468</v>
      </c>
      <c r="C53" s="1" t="s">
        <v>106</v>
      </c>
      <c r="D53" s="1" t="s">
        <v>48</v>
      </c>
      <c r="E53" s="1" t="s">
        <v>469</v>
      </c>
      <c r="F53" s="1" t="s">
        <v>324</v>
      </c>
      <c r="G53" s="25" t="s">
        <v>470</v>
      </c>
      <c r="H53" s="25" t="s">
        <v>470</v>
      </c>
      <c r="I53" s="25"/>
      <c r="J53" s="25"/>
      <c r="K53" s="25"/>
      <c r="L53" s="25"/>
      <c r="M53" s="25"/>
      <c r="N53" s="25"/>
      <c r="O53" s="25"/>
      <c r="P53" s="25"/>
      <c r="Q53" s="25"/>
      <c r="R53" s="25"/>
      <c r="S53" s="25"/>
      <c r="T53" s="25"/>
      <c r="U53" s="25"/>
      <c r="V53" s="25"/>
      <c r="W53" s="25"/>
      <c r="X53" s="25"/>
      <c r="Y53" s="25"/>
      <c r="Z53" s="25"/>
      <c r="AA53" s="25"/>
      <c r="AB53" s="25"/>
      <c r="AC53" s="25"/>
      <c r="AD53" s="25"/>
      <c r="AE53" s="25"/>
      <c r="AF53" s="25"/>
      <c r="AG53" s="25"/>
      <c r="AH53" s="25"/>
      <c r="AI53" s="25"/>
      <c r="AJ53" s="25"/>
      <c r="AK53" s="25"/>
      <c r="AL53" s="25"/>
      <c r="AM53" s="25"/>
      <c r="AN53" s="25"/>
      <c r="AO53" s="1">
        <f t="shared" si="3"/>
        <v>0.1</v>
      </c>
      <c r="AP53" s="1" t="s">
        <v>343</v>
      </c>
      <c r="AQ53" s="1" t="s">
        <v>471</v>
      </c>
      <c r="AR53" s="1" t="s">
        <v>472</v>
      </c>
    </row>
    <row r="54" spans="1:44" ht="120.75" thickBot="1" x14ac:dyDescent="0.3">
      <c r="A54" s="4" t="s">
        <v>473</v>
      </c>
      <c r="B54" s="1" t="s">
        <v>474</v>
      </c>
      <c r="C54" s="1" t="s">
        <v>47</v>
      </c>
      <c r="D54" s="1" t="s">
        <v>68</v>
      </c>
      <c r="E54" s="1" t="s">
        <v>475</v>
      </c>
      <c r="F54" s="1" t="s">
        <v>324</v>
      </c>
      <c r="G54" s="26" t="s">
        <v>476</v>
      </c>
      <c r="H54" s="26" t="s">
        <v>476</v>
      </c>
      <c r="I54" s="26"/>
      <c r="J54" s="26"/>
      <c r="K54" s="26"/>
      <c r="L54" s="26"/>
      <c r="M54" s="26"/>
      <c r="N54" s="26"/>
      <c r="O54" s="26"/>
      <c r="P54" s="26"/>
      <c r="Q54" s="26"/>
      <c r="R54" s="26"/>
      <c r="S54" s="26"/>
      <c r="T54" s="26"/>
      <c r="U54" s="26" t="s">
        <v>477</v>
      </c>
      <c r="V54" s="26" t="s">
        <v>477</v>
      </c>
      <c r="W54" s="26"/>
      <c r="X54" s="26"/>
      <c r="Y54" s="26"/>
      <c r="Z54" s="26"/>
      <c r="AA54" s="26"/>
      <c r="AB54" s="26"/>
      <c r="AC54" s="26"/>
      <c r="AD54" s="26"/>
      <c r="AE54" s="26"/>
      <c r="AF54" s="26"/>
      <c r="AG54" s="26"/>
      <c r="AH54" s="26"/>
      <c r="AI54" s="26"/>
      <c r="AJ54" s="26"/>
      <c r="AK54" s="26"/>
      <c r="AL54" s="26"/>
      <c r="AM54" s="26"/>
      <c r="AN54" s="26"/>
      <c r="AO54" s="1">
        <f t="shared" si="3"/>
        <v>0.3</v>
      </c>
      <c r="AP54" s="1" t="s">
        <v>343</v>
      </c>
      <c r="AQ54" s="1" t="s">
        <v>478</v>
      </c>
      <c r="AR54" s="1" t="s">
        <v>479</v>
      </c>
    </row>
    <row r="55" spans="1:44" ht="75.75" thickBot="1" x14ac:dyDescent="0.3">
      <c r="A55" s="4" t="s">
        <v>480</v>
      </c>
      <c r="B55" s="1" t="s">
        <v>481</v>
      </c>
      <c r="C55" s="1" t="s">
        <v>106</v>
      </c>
      <c r="D55" s="1" t="s">
        <v>68</v>
      </c>
      <c r="E55" s="1" t="s">
        <v>482</v>
      </c>
      <c r="F55" s="1" t="s">
        <v>324</v>
      </c>
      <c r="G55" s="24" t="s">
        <v>483</v>
      </c>
      <c r="H55" s="24" t="s">
        <v>483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1">
        <f t="shared" si="3"/>
        <v>0.1</v>
      </c>
      <c r="AP55" s="1" t="s">
        <v>343</v>
      </c>
      <c r="AQ55" s="1" t="s">
        <v>484</v>
      </c>
      <c r="AR55" s="1" t="s">
        <v>485</v>
      </c>
    </row>
    <row r="56" spans="1:44" ht="60.75" thickBot="1" x14ac:dyDescent="0.3">
      <c r="A56" s="4" t="s">
        <v>486</v>
      </c>
      <c r="B56" s="1" t="s">
        <v>487</v>
      </c>
      <c r="C56" s="1" t="s">
        <v>106</v>
      </c>
      <c r="D56" s="1" t="s">
        <v>68</v>
      </c>
      <c r="E56" s="1" t="s">
        <v>488</v>
      </c>
      <c r="F56" s="1" t="s">
        <v>324</v>
      </c>
      <c r="G56" s="24" t="s">
        <v>489</v>
      </c>
      <c r="H56" s="24" t="s">
        <v>489</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1">
        <f t="shared" si="3"/>
        <v>0.1</v>
      </c>
      <c r="AP56" s="1" t="s">
        <v>343</v>
      </c>
      <c r="AQ56" s="1" t="s">
        <v>490</v>
      </c>
      <c r="AR56" s="1" t="s">
        <v>491</v>
      </c>
    </row>
    <row r="57" spans="1:44" x14ac:dyDescent="0.25">
      <c r="A57" s="4"/>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row>
    <row r="58" spans="1:44" ht="15.75" thickBot="1" x14ac:dyDescent="0.3">
      <c r="A58" s="5" t="s">
        <v>492</v>
      </c>
      <c r="B58" s="5"/>
      <c r="C58" s="5"/>
      <c r="D58" s="5"/>
      <c r="E58" s="5"/>
      <c r="F58" s="5"/>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5"/>
      <c r="AP58" s="5"/>
      <c r="AQ58" s="5"/>
      <c r="AR58" s="5"/>
    </row>
    <row r="59" spans="1:44" ht="90.75" thickBot="1" x14ac:dyDescent="0.3">
      <c r="A59" s="4" t="s">
        <v>493</v>
      </c>
      <c r="B59" s="1" t="s">
        <v>494</v>
      </c>
      <c r="C59" s="1" t="s">
        <v>47</v>
      </c>
      <c r="D59" s="1" t="s">
        <v>48</v>
      </c>
      <c r="E59" s="1" t="s">
        <v>495</v>
      </c>
      <c r="F59" s="1" t="s">
        <v>324</v>
      </c>
      <c r="G59" s="28" t="s">
        <v>496</v>
      </c>
      <c r="H59" s="28" t="s">
        <v>381</v>
      </c>
      <c r="I59" s="28" t="s">
        <v>497</v>
      </c>
      <c r="J59" s="28" t="s">
        <v>498</v>
      </c>
      <c r="K59" s="28" t="s">
        <v>499</v>
      </c>
      <c r="L59" s="28" t="s">
        <v>500</v>
      </c>
      <c r="M59" s="28"/>
      <c r="N59" s="28" t="s">
        <v>383</v>
      </c>
      <c r="O59" s="28"/>
      <c r="P59" s="28" t="s">
        <v>383</v>
      </c>
      <c r="Q59" s="28" t="s">
        <v>501</v>
      </c>
      <c r="R59" s="28" t="s">
        <v>502</v>
      </c>
      <c r="S59" s="28" t="s">
        <v>503</v>
      </c>
      <c r="T59" s="28" t="s">
        <v>504</v>
      </c>
      <c r="U59" s="28" t="s">
        <v>505</v>
      </c>
      <c r="V59" s="28" t="s">
        <v>385</v>
      </c>
      <c r="W59" s="28" t="s">
        <v>506</v>
      </c>
      <c r="X59" s="28" t="s">
        <v>507</v>
      </c>
      <c r="Y59" s="28" t="s">
        <v>508</v>
      </c>
      <c r="Z59" s="28" t="s">
        <v>508</v>
      </c>
      <c r="AA59" s="28" t="s">
        <v>508</v>
      </c>
      <c r="AB59" s="28" t="s">
        <v>508</v>
      </c>
      <c r="AC59" s="28" t="s">
        <v>508</v>
      </c>
      <c r="AD59" s="28" t="s">
        <v>508</v>
      </c>
      <c r="AE59" s="28" t="s">
        <v>509</v>
      </c>
      <c r="AF59" s="28" t="s">
        <v>509</v>
      </c>
      <c r="AG59" s="28" t="s">
        <v>510</v>
      </c>
      <c r="AH59" s="28" t="s">
        <v>511</v>
      </c>
      <c r="AI59" s="28" t="s">
        <v>512</v>
      </c>
      <c r="AJ59" s="28" t="s">
        <v>513</v>
      </c>
      <c r="AK59" s="28" t="s">
        <v>514</v>
      </c>
      <c r="AL59" s="28" t="s">
        <v>514</v>
      </c>
      <c r="AM59" s="28" t="s">
        <v>514</v>
      </c>
      <c r="AN59" s="28" t="s">
        <v>514</v>
      </c>
      <c r="AO59" s="1">
        <f t="shared" ref="AO59:AO68" si="4">COUNTA(H59:V59)/10</f>
        <v>1.3</v>
      </c>
      <c r="AP59" s="1" t="s">
        <v>343</v>
      </c>
      <c r="AQ59" s="1" t="s">
        <v>515</v>
      </c>
      <c r="AR59" s="1" t="s">
        <v>516</v>
      </c>
    </row>
    <row r="60" spans="1:44" ht="45.75" thickBot="1" x14ac:dyDescent="0.3">
      <c r="A60" s="4" t="s">
        <v>517</v>
      </c>
      <c r="B60" s="1" t="s">
        <v>518</v>
      </c>
      <c r="C60" s="1" t="s">
        <v>47</v>
      </c>
      <c r="D60" s="1" t="s">
        <v>48</v>
      </c>
      <c r="E60" s="1" t="s">
        <v>519</v>
      </c>
      <c r="F60" s="1" t="s">
        <v>324</v>
      </c>
      <c r="G60" s="28" t="s">
        <v>520</v>
      </c>
      <c r="H60" s="28" t="s">
        <v>520</v>
      </c>
      <c r="I60" s="28"/>
      <c r="J60" s="28"/>
      <c r="K60" s="28"/>
      <c r="L60" s="28"/>
      <c r="M60" s="28"/>
      <c r="N60" s="28"/>
      <c r="O60" s="28"/>
      <c r="P60" s="28"/>
      <c r="Q60" s="28"/>
      <c r="R60" s="28"/>
      <c r="S60" s="28"/>
      <c r="T60" s="28"/>
      <c r="U60" s="28" t="s">
        <v>521</v>
      </c>
      <c r="V60" s="28" t="s">
        <v>521</v>
      </c>
      <c r="W60" s="28" t="s">
        <v>522</v>
      </c>
      <c r="X60" s="28" t="s">
        <v>522</v>
      </c>
      <c r="Y60" s="28"/>
      <c r="Z60" s="28"/>
      <c r="AA60" s="28"/>
      <c r="AB60" s="28"/>
      <c r="AC60" s="28"/>
      <c r="AD60" s="28"/>
      <c r="AE60" s="28" t="s">
        <v>523</v>
      </c>
      <c r="AF60" s="28" t="s">
        <v>523</v>
      </c>
      <c r="AG60" s="28"/>
      <c r="AH60" s="28"/>
      <c r="AI60" s="28"/>
      <c r="AJ60" s="28"/>
      <c r="AK60" s="28"/>
      <c r="AL60" s="28"/>
      <c r="AM60" s="28"/>
      <c r="AN60" s="28"/>
      <c r="AO60" s="1">
        <f t="shared" si="4"/>
        <v>0.3</v>
      </c>
      <c r="AP60" s="1" t="s">
        <v>343</v>
      </c>
      <c r="AQ60" s="1" t="s">
        <v>524</v>
      </c>
      <c r="AR60" s="1" t="s">
        <v>525</v>
      </c>
    </row>
    <row r="61" spans="1:44" ht="45.75" thickBot="1" x14ac:dyDescent="0.3">
      <c r="A61" s="4" t="s">
        <v>526</v>
      </c>
      <c r="B61" s="1" t="s">
        <v>527</v>
      </c>
      <c r="C61" s="1" t="s">
        <v>47</v>
      </c>
      <c r="D61" s="1" t="s">
        <v>437</v>
      </c>
      <c r="E61" s="1" t="s">
        <v>528</v>
      </c>
      <c r="F61" s="1" t="s">
        <v>324</v>
      </c>
      <c r="G61" s="28" t="s">
        <v>529</v>
      </c>
      <c r="H61" s="28" t="s">
        <v>529</v>
      </c>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1">
        <f t="shared" si="4"/>
        <v>0.1</v>
      </c>
      <c r="AP61" s="1" t="s">
        <v>343</v>
      </c>
      <c r="AQ61" s="1" t="s">
        <v>530</v>
      </c>
      <c r="AR61" s="1" t="s">
        <v>531</v>
      </c>
    </row>
    <row r="62" spans="1:44" ht="45.75" thickBot="1" x14ac:dyDescent="0.3">
      <c r="A62" s="4" t="s">
        <v>532</v>
      </c>
      <c r="B62" s="1" t="s">
        <v>533</v>
      </c>
      <c r="C62" s="1" t="s">
        <v>106</v>
      </c>
      <c r="D62" s="1" t="s">
        <v>48</v>
      </c>
      <c r="E62" s="1" t="s">
        <v>534</v>
      </c>
      <c r="F62" s="1" t="s">
        <v>324</v>
      </c>
      <c r="G62" s="29" t="s">
        <v>535</v>
      </c>
      <c r="H62" s="29" t="s">
        <v>535</v>
      </c>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1">
        <f t="shared" si="4"/>
        <v>0.1</v>
      </c>
      <c r="AP62" s="1" t="s">
        <v>343</v>
      </c>
      <c r="AQ62" s="1" t="s">
        <v>536</v>
      </c>
      <c r="AR62" s="1" t="s">
        <v>537</v>
      </c>
    </row>
    <row r="63" spans="1:44" ht="45.75" thickBot="1" x14ac:dyDescent="0.3">
      <c r="A63" s="4" t="s">
        <v>538</v>
      </c>
      <c r="B63" s="1" t="s">
        <v>539</v>
      </c>
      <c r="C63" s="1" t="s">
        <v>106</v>
      </c>
      <c r="D63" s="1" t="s">
        <v>48</v>
      </c>
      <c r="E63" s="1" t="s">
        <v>540</v>
      </c>
      <c r="F63" s="1" t="s">
        <v>324</v>
      </c>
      <c r="G63" s="29" t="s">
        <v>439</v>
      </c>
      <c r="H63" s="29" t="s">
        <v>439</v>
      </c>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1">
        <f t="shared" si="4"/>
        <v>0.1</v>
      </c>
      <c r="AP63" s="1" t="s">
        <v>343</v>
      </c>
      <c r="AQ63" s="1" t="s">
        <v>541</v>
      </c>
      <c r="AR63" s="1" t="s">
        <v>542</v>
      </c>
    </row>
    <row r="64" spans="1:44" ht="90.75" thickBot="1" x14ac:dyDescent="0.3">
      <c r="A64" s="4" t="s">
        <v>543</v>
      </c>
      <c r="B64" s="1" t="s">
        <v>544</v>
      </c>
      <c r="C64" s="1" t="s">
        <v>106</v>
      </c>
      <c r="D64" s="1" t="s">
        <v>545</v>
      </c>
      <c r="E64" s="1" t="s">
        <v>546</v>
      </c>
      <c r="F64" s="1" t="s">
        <v>324</v>
      </c>
      <c r="G64" s="29" t="s">
        <v>547</v>
      </c>
      <c r="H64" s="29" t="s">
        <v>381</v>
      </c>
      <c r="I64" s="29"/>
      <c r="J64" s="29" t="s">
        <v>381</v>
      </c>
      <c r="K64" s="29" t="s">
        <v>548</v>
      </c>
      <c r="L64" s="29" t="s">
        <v>549</v>
      </c>
      <c r="M64" s="29" t="s">
        <v>550</v>
      </c>
      <c r="N64" s="29" t="s">
        <v>551</v>
      </c>
      <c r="O64" s="29" t="s">
        <v>550</v>
      </c>
      <c r="P64" s="29" t="s">
        <v>551</v>
      </c>
      <c r="Q64" s="29" t="s">
        <v>552</v>
      </c>
      <c r="R64" s="29" t="s">
        <v>553</v>
      </c>
      <c r="S64" s="29" t="s">
        <v>554</v>
      </c>
      <c r="T64" s="29" t="s">
        <v>555</v>
      </c>
      <c r="U64" s="29"/>
      <c r="V64" s="29" t="s">
        <v>385</v>
      </c>
      <c r="W64" s="29"/>
      <c r="X64" s="29" t="s">
        <v>386</v>
      </c>
      <c r="Y64" s="29"/>
      <c r="Z64" s="29"/>
      <c r="AA64" s="29"/>
      <c r="AB64" s="29"/>
      <c r="AC64" s="29"/>
      <c r="AD64" s="29"/>
      <c r="AE64" s="29"/>
      <c r="AF64" s="29"/>
      <c r="AG64" s="29"/>
      <c r="AH64" s="29" t="s">
        <v>387</v>
      </c>
      <c r="AI64" s="29"/>
      <c r="AJ64" s="29" t="s">
        <v>386</v>
      </c>
      <c r="AK64" s="29" t="s">
        <v>556</v>
      </c>
      <c r="AL64" s="29" t="s">
        <v>556</v>
      </c>
      <c r="AM64" s="29" t="s">
        <v>556</v>
      </c>
      <c r="AN64" s="29" t="s">
        <v>556</v>
      </c>
      <c r="AO64" s="1">
        <f t="shared" si="4"/>
        <v>1.3</v>
      </c>
      <c r="AP64" s="1" t="s">
        <v>343</v>
      </c>
      <c r="AQ64" s="1" t="s">
        <v>557</v>
      </c>
      <c r="AR64" s="1" t="s">
        <v>558</v>
      </c>
    </row>
    <row r="65" spans="1:44" ht="45.75" thickBot="1" x14ac:dyDescent="0.3">
      <c r="A65" s="4" t="s">
        <v>559</v>
      </c>
      <c r="B65" s="1" t="s">
        <v>560</v>
      </c>
      <c r="C65" s="1" t="s">
        <v>106</v>
      </c>
      <c r="D65" s="1" t="s">
        <v>215</v>
      </c>
      <c r="E65" s="1" t="s">
        <v>561</v>
      </c>
      <c r="F65" s="1" t="s">
        <v>324</v>
      </c>
      <c r="G65" s="29" t="s">
        <v>562</v>
      </c>
      <c r="H65" s="29" t="s">
        <v>562</v>
      </c>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1">
        <f t="shared" si="4"/>
        <v>0.1</v>
      </c>
      <c r="AP65" s="1" t="s">
        <v>343</v>
      </c>
      <c r="AR65" s="1" t="s">
        <v>563</v>
      </c>
    </row>
    <row r="66" spans="1:44" ht="45.75" thickBot="1" x14ac:dyDescent="0.3">
      <c r="A66" s="4" t="s">
        <v>564</v>
      </c>
      <c r="B66" s="1" t="s">
        <v>565</v>
      </c>
      <c r="C66" s="1" t="s">
        <v>106</v>
      </c>
      <c r="D66" s="1" t="s">
        <v>48</v>
      </c>
      <c r="E66" s="1" t="s">
        <v>566</v>
      </c>
      <c r="F66" s="1" t="s">
        <v>324</v>
      </c>
      <c r="G66" s="29" t="s">
        <v>567</v>
      </c>
      <c r="H66" s="29" t="s">
        <v>567</v>
      </c>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1">
        <f t="shared" si="4"/>
        <v>0.1</v>
      </c>
      <c r="AP66" s="1" t="s">
        <v>343</v>
      </c>
      <c r="AQ66" s="1" t="s">
        <v>568</v>
      </c>
      <c r="AR66" s="1" t="s">
        <v>569</v>
      </c>
    </row>
    <row r="67" spans="1:44" ht="45.75" thickBot="1" x14ac:dyDescent="0.3">
      <c r="A67" s="4" t="s">
        <v>570</v>
      </c>
      <c r="B67" s="1" t="s">
        <v>571</v>
      </c>
      <c r="C67" s="1" t="s">
        <v>106</v>
      </c>
      <c r="D67" s="1" t="s">
        <v>48</v>
      </c>
      <c r="E67" s="1" t="s">
        <v>572</v>
      </c>
      <c r="F67" s="1" t="s">
        <v>324</v>
      </c>
      <c r="G67" s="29" t="s">
        <v>573</v>
      </c>
      <c r="H67" s="29" t="s">
        <v>573</v>
      </c>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1">
        <f t="shared" si="4"/>
        <v>0.1</v>
      </c>
      <c r="AP67" s="1" t="s">
        <v>343</v>
      </c>
      <c r="AQ67" s="1" t="s">
        <v>574</v>
      </c>
      <c r="AR67" s="1" t="s">
        <v>575</v>
      </c>
    </row>
    <row r="68" spans="1:44" ht="45.75" thickBot="1" x14ac:dyDescent="0.3">
      <c r="A68" s="4" t="s">
        <v>576</v>
      </c>
      <c r="B68" s="1" t="s">
        <v>577</v>
      </c>
      <c r="C68" s="1" t="s">
        <v>106</v>
      </c>
      <c r="D68" s="1" t="s">
        <v>48</v>
      </c>
      <c r="E68" s="1" t="s">
        <v>578</v>
      </c>
      <c r="F68" s="1" t="s">
        <v>324</v>
      </c>
      <c r="G68" s="29" t="s">
        <v>578</v>
      </c>
      <c r="H68" s="29" t="s">
        <v>578</v>
      </c>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1">
        <f t="shared" si="4"/>
        <v>0.1</v>
      </c>
      <c r="AP68" s="1" t="s">
        <v>343</v>
      </c>
      <c r="AQ68" s="1" t="s">
        <v>579</v>
      </c>
      <c r="AR68" s="1" t="s">
        <v>580</v>
      </c>
    </row>
    <row r="69" spans="1:44" x14ac:dyDescent="0.2">
      <c r="A69" s="4"/>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row>
    <row r="70" spans="1:44" ht="60" x14ac:dyDescent="0.25">
      <c r="A70" s="4" t="s">
        <v>581</v>
      </c>
      <c r="B70" s="1" t="s">
        <v>582</v>
      </c>
      <c r="C70" s="1" t="s">
        <v>106</v>
      </c>
      <c r="D70" s="1" t="s">
        <v>48</v>
      </c>
      <c r="G70" s="21" t="s">
        <v>583</v>
      </c>
      <c r="H70" s="21" t="s">
        <v>583</v>
      </c>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P70" s="1" t="s">
        <v>584</v>
      </c>
      <c r="AQ70" s="1" t="s">
        <v>585</v>
      </c>
      <c r="AR70" s="1" t="s">
        <v>586</v>
      </c>
    </row>
  </sheetData>
  <conditionalFormatting sqref="G13:G14">
    <cfRule type="colorScale" priority="26">
      <colorScale>
        <cfvo type="min"/>
        <cfvo type="max"/>
        <color rgb="FFFFFFFF"/>
        <color rgb="FF57BB8A"/>
      </colorScale>
    </cfRule>
  </conditionalFormatting>
  <conditionalFormatting sqref="G17:G23">
    <cfRule type="colorScale" priority="25">
      <colorScale>
        <cfvo type="min"/>
        <cfvo type="max"/>
        <color rgb="FFFFFFFF"/>
        <color rgb="FF57BB8A"/>
      </colorScale>
    </cfRule>
  </conditionalFormatting>
  <conditionalFormatting sqref="G26:G43">
    <cfRule type="colorScale" priority="24">
      <colorScale>
        <cfvo type="min"/>
        <cfvo type="max"/>
        <color rgb="FFFFFFFF"/>
        <color rgb="FF57BB8A"/>
      </colorScale>
    </cfRule>
  </conditionalFormatting>
  <conditionalFormatting sqref="G46:G58">
    <cfRule type="colorScale" priority="23">
      <colorScale>
        <cfvo type="min"/>
        <cfvo type="max"/>
        <color rgb="FFFFFFFF"/>
        <color rgb="FF57BB8A"/>
      </colorScale>
    </cfRule>
  </conditionalFormatting>
  <conditionalFormatting sqref="G59:G66">
    <cfRule type="colorScale" priority="22">
      <colorScale>
        <cfvo type="min"/>
        <cfvo type="max"/>
        <color rgb="FFFFFFFF"/>
        <color rgb="FF57BB8A"/>
      </colorScale>
    </cfRule>
  </conditionalFormatting>
  <conditionalFormatting sqref="G3:G7 G9">
    <cfRule type="colorScale" priority="28">
      <colorScale>
        <cfvo type="min"/>
        <cfvo type="max"/>
        <color rgb="FFFFFFFF"/>
        <color rgb="FF57BB8A"/>
      </colorScale>
    </cfRule>
  </conditionalFormatting>
  <conditionalFormatting sqref="G10">
    <cfRule type="colorScale" priority="27">
      <colorScale>
        <cfvo type="min"/>
        <cfvo type="max"/>
        <color rgb="FFFFFFFF"/>
        <color rgb="FF57BB8A"/>
      </colorScale>
    </cfRule>
  </conditionalFormatting>
  <conditionalFormatting sqref="H13:H14">
    <cfRule type="colorScale" priority="19">
      <colorScale>
        <cfvo type="min"/>
        <cfvo type="max"/>
        <color rgb="FFFFFFFF"/>
        <color rgb="FF57BB8A"/>
      </colorScale>
    </cfRule>
  </conditionalFormatting>
  <conditionalFormatting sqref="H17:H23">
    <cfRule type="colorScale" priority="18">
      <colorScale>
        <cfvo type="min"/>
        <cfvo type="max"/>
        <color rgb="FFFFFFFF"/>
        <color rgb="FF57BB8A"/>
      </colorScale>
    </cfRule>
  </conditionalFormatting>
  <conditionalFormatting sqref="H26:H43">
    <cfRule type="colorScale" priority="17">
      <colorScale>
        <cfvo type="min"/>
        <cfvo type="max"/>
        <color rgb="FFFFFFFF"/>
        <color rgb="FF57BB8A"/>
      </colorScale>
    </cfRule>
  </conditionalFormatting>
  <conditionalFormatting sqref="H46:H58">
    <cfRule type="colorScale" priority="16">
      <colorScale>
        <cfvo type="min"/>
        <cfvo type="max"/>
        <color rgb="FFFFFFFF"/>
        <color rgb="FF57BB8A"/>
      </colorScale>
    </cfRule>
  </conditionalFormatting>
  <conditionalFormatting sqref="H59:H66">
    <cfRule type="colorScale" priority="15">
      <colorScale>
        <cfvo type="min"/>
        <cfvo type="max"/>
        <color rgb="FFFFFFFF"/>
        <color rgb="FF57BB8A"/>
      </colorScale>
    </cfRule>
  </conditionalFormatting>
  <conditionalFormatting sqref="H3:H7 H9">
    <cfRule type="colorScale" priority="21">
      <colorScale>
        <cfvo type="min"/>
        <cfvo type="max"/>
        <color rgb="FFFFFFFF"/>
        <color rgb="FF57BB8A"/>
      </colorScale>
    </cfRule>
  </conditionalFormatting>
  <conditionalFormatting sqref="H10">
    <cfRule type="colorScale" priority="20">
      <colorScale>
        <cfvo type="min"/>
        <cfvo type="max"/>
        <color rgb="FFFFFFFF"/>
        <color rgb="FF57BB8A"/>
      </colorScale>
    </cfRule>
  </conditionalFormatting>
  <conditionalFormatting sqref="I13:I14">
    <cfRule type="colorScale" priority="12">
      <colorScale>
        <cfvo type="min"/>
        <cfvo type="max"/>
        <color rgb="FFFFFFFF"/>
        <color rgb="FF57BB8A"/>
      </colorScale>
    </cfRule>
  </conditionalFormatting>
  <conditionalFormatting sqref="I17:I23">
    <cfRule type="colorScale" priority="11">
      <colorScale>
        <cfvo type="min"/>
        <cfvo type="max"/>
        <color rgb="FFFFFFFF"/>
        <color rgb="FF57BB8A"/>
      </colorScale>
    </cfRule>
  </conditionalFormatting>
  <conditionalFormatting sqref="I26:I43">
    <cfRule type="colorScale" priority="10">
      <colorScale>
        <cfvo type="min"/>
        <cfvo type="max"/>
        <color rgb="FFFFFFFF"/>
        <color rgb="FF57BB8A"/>
      </colorScale>
    </cfRule>
  </conditionalFormatting>
  <conditionalFormatting sqref="I46:I58">
    <cfRule type="colorScale" priority="9">
      <colorScale>
        <cfvo type="min"/>
        <cfvo type="max"/>
        <color rgb="FFFFFFFF"/>
        <color rgb="FF57BB8A"/>
      </colorScale>
    </cfRule>
  </conditionalFormatting>
  <conditionalFormatting sqref="I59:I66">
    <cfRule type="colorScale" priority="8">
      <colorScale>
        <cfvo type="min"/>
        <cfvo type="max"/>
        <color rgb="FFFFFFFF"/>
        <color rgb="FF57BB8A"/>
      </colorScale>
    </cfRule>
  </conditionalFormatting>
  <conditionalFormatting sqref="I3:I7 I9">
    <cfRule type="colorScale" priority="14">
      <colorScale>
        <cfvo type="min"/>
        <cfvo type="max"/>
        <color rgb="FFFFFFFF"/>
        <color rgb="FF57BB8A"/>
      </colorScale>
    </cfRule>
  </conditionalFormatting>
  <conditionalFormatting sqref="I10">
    <cfRule type="colorScale" priority="13">
      <colorScale>
        <cfvo type="min"/>
        <cfvo type="max"/>
        <color rgb="FFFFFFFF"/>
        <color rgb="FF57BB8A"/>
      </colorScale>
    </cfRule>
  </conditionalFormatting>
  <conditionalFormatting sqref="J13:AN14">
    <cfRule type="colorScale" priority="5">
      <colorScale>
        <cfvo type="min"/>
        <cfvo type="max"/>
        <color rgb="FFFFFFFF"/>
        <color rgb="FF57BB8A"/>
      </colorScale>
    </cfRule>
  </conditionalFormatting>
  <conditionalFormatting sqref="J17:AN23">
    <cfRule type="colorScale" priority="4">
      <colorScale>
        <cfvo type="min"/>
        <cfvo type="max"/>
        <color rgb="FFFFFFFF"/>
        <color rgb="FF57BB8A"/>
      </colorScale>
    </cfRule>
  </conditionalFormatting>
  <conditionalFormatting sqref="J26:AN43">
    <cfRule type="colorScale" priority="3">
      <colorScale>
        <cfvo type="min"/>
        <cfvo type="max"/>
        <color rgb="FFFFFFFF"/>
        <color rgb="FF57BB8A"/>
      </colorScale>
    </cfRule>
  </conditionalFormatting>
  <conditionalFormatting sqref="J46:AN58">
    <cfRule type="colorScale" priority="2">
      <colorScale>
        <cfvo type="min"/>
        <cfvo type="max"/>
        <color rgb="FFFFFFFF"/>
        <color rgb="FF57BB8A"/>
      </colorScale>
    </cfRule>
  </conditionalFormatting>
  <conditionalFormatting sqref="J59:AN66">
    <cfRule type="colorScale" priority="1">
      <colorScale>
        <cfvo type="min"/>
        <cfvo type="max"/>
        <color rgb="FFFFFFFF"/>
        <color rgb="FF57BB8A"/>
      </colorScale>
    </cfRule>
  </conditionalFormatting>
  <conditionalFormatting sqref="J3:AN7 J9:AN9">
    <cfRule type="colorScale" priority="7">
      <colorScale>
        <cfvo type="min"/>
        <cfvo type="max"/>
        <color rgb="FFFFFFFF"/>
        <color rgb="FF57BB8A"/>
      </colorScale>
    </cfRule>
  </conditionalFormatting>
  <conditionalFormatting sqref="J10:AN10">
    <cfRule type="colorScale" priority="6">
      <colorScale>
        <cfvo type="min"/>
        <cfvo type="max"/>
        <color rgb="FFFFFFFF"/>
        <color rgb="FF57BB8A"/>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dcterms:created xsi:type="dcterms:W3CDTF">2026-04-29T00:40:10Z</dcterms:created>
  <dcterms:modified xsi:type="dcterms:W3CDTF">2026-04-29T00:47:34Z</dcterms:modified>
</cp:coreProperties>
</file>